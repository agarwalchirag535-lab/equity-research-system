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Segment Revenue Build" sheetId="4" state="visible" r:id="rId4"/>
    <sheet xmlns:r="http://schemas.openxmlformats.org/officeDocument/2006/relationships" name="DCF Valuation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Sensitivity" sheetId="7" state="visible" r:id="rId7"/>
  </sheets>
  <definedNames>
    <definedName name="DCF_ValuePerShare">'DCF Valuation'!$E$36</definedName>
    <definedName name="DCF_WACC">'DCF Valuation'!$E$15</definedName>
    <definedName name="DCF_EnterpriseValue">'DCF Valuation'!$E$32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#,##0.00;(#,##0.00);&quot;-&quot;"/>
    <numFmt numFmtId="167" formatCode="#,##0.0;(#,##0.0);&quot;-&quot;"/>
    <numFmt numFmtId="168" formatCode="#,##0.0&quot;x&quot;;(#,##0.0&quot;x&quot;);&quot;-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444444"/>
      <sz val="9"/>
    </font>
    <font>
      <name val="Calibri"/>
      <b val="1"/>
      <color rgb="FFC00000"/>
      <sz val="9"/>
    </font>
    <font>
      <name val="Calibri"/>
      <b val="1"/>
      <color rgb="FF000000"/>
      <sz val="10"/>
    </font>
    <font>
      <name val="Calibri"/>
      <b val="1"/>
      <color rgb="FFFFFFFF"/>
      <sz val="10"/>
    </font>
    <font>
      <i val="1"/>
      <color rgb="FF375623"/>
      <sz val="8"/>
    </font>
    <font>
      <i val="1"/>
      <color rgb="FF833C00"/>
      <sz val="8"/>
    </font>
    <font>
      <name val="Calibri"/>
      <b val="1"/>
      <color rgb="FF1F3864"/>
      <sz val="10"/>
    </font>
    <font>
      <name val="Calibri"/>
      <color rgb="FF0000FF"/>
      <sz val="10"/>
    </font>
    <font>
      <name val="Calibri"/>
      <i val="1"/>
      <color rgb="FF555555"/>
      <sz val="8"/>
    </font>
    <font>
      <name val="Calibri"/>
      <color rgb="FF000000"/>
      <sz val="10"/>
    </font>
    <font>
      <name val="Calibri"/>
      <color rgb="FF008000"/>
      <sz val="10"/>
    </font>
    <font>
      <name val="Calibri"/>
      <i val="1"/>
      <color rgb="FF000000"/>
      <sz val="10"/>
    </font>
    <font>
      <name val="Calibri"/>
      <b val="1"/>
      <color rgb="FF0000FF"/>
      <sz val="10"/>
    </font>
    <font>
      <name val="Calibri"/>
      <b val="1"/>
      <color rgb="FF008000"/>
      <sz val="10"/>
    </font>
    <font>
      <b val="1"/>
      <sz val="9"/>
    </font>
    <font>
      <name val="Calibri"/>
      <b val="1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0" applyAlignment="1" pivotButton="0" quotePrefix="0" xfId="0">
      <alignment horizontal="center" vertical="center"/>
    </xf>
    <xf numFmtId="49" fontId="5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164" fontId="9" fillId="6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9" fillId="6" borderId="0" applyAlignment="1" pivotButton="0" quotePrefix="0" xfId="0">
      <alignment horizontal="right" vertical="center"/>
    </xf>
    <xf numFmtId="166" fontId="9" fillId="6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7" fontId="9" fillId="6" borderId="0" applyAlignment="1" pivotButton="0" quotePrefix="0" xfId="0">
      <alignment horizontal="right" vertical="center"/>
    </xf>
    <xf numFmtId="167" fontId="15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indent="1"/>
    </xf>
    <xf numFmtId="167" fontId="12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indent="1"/>
    </xf>
    <xf numFmtId="167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1"/>
    </xf>
    <xf numFmtId="167" fontId="14" fillId="6" borderId="0" applyAlignment="1" pivotButton="0" quotePrefix="0" xfId="0">
      <alignment horizontal="right" vertical="center"/>
    </xf>
    <xf numFmtId="168" fontId="11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/>
    </xf>
    <xf numFmtId="168" fontId="4" fillId="0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H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2" customWidth="1" min="8" max="8"/>
  </cols>
  <sheetData>
    <row r="1" ht="24" customHeight="1">
      <c r="A1" s="1" t="inlineStr">
        <is>
          <t>BSE Ltd — Model Assumptions &amp; Drivers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Every yellow cell is an editable input. Downstream tabs reference these cells only. Sources tagged from BSE research (AR = Annual Report, MD&amp;A, SECONDARY = external).</t>
        </is>
      </c>
    </row>
    <row r="3">
      <c r="A3" s="4" t="inlineStr">
        <is>
          <t>Units: Rs Crore unless marked. Percentages stored as decimals (0.15 = 15.0%). Bps stored as absolute (e.g. 2.50).</t>
        </is>
      </c>
    </row>
    <row r="4">
      <c r="B4" s="5" t="inlineStr">
        <is>
          <t>Actual</t>
        </is>
      </c>
      <c r="E4" s="6" t="inlineStr">
        <is>
          <t>Projected</t>
        </is>
      </c>
    </row>
    <row r="5">
      <c r="A5" s="7" t="inlineStr">
        <is>
          <t>Driver</t>
        </is>
      </c>
      <c r="B5" s="8" t="inlineStr">
        <is>
          <t>FY24</t>
        </is>
      </c>
      <c r="C5" s="8" t="inlineStr">
        <is>
          <t>FY25</t>
        </is>
      </c>
      <c r="D5" s="8" t="inlineStr">
        <is>
          <t>FY26</t>
        </is>
      </c>
      <c r="E5" s="9" t="inlineStr">
        <is>
          <t>FY27E</t>
        </is>
      </c>
      <c r="F5" s="9" t="inlineStr">
        <is>
          <t>FY28E</t>
        </is>
      </c>
      <c r="G5" s="9" t="inlineStr">
        <is>
          <t>FY29E</t>
        </is>
      </c>
      <c r="H5" s="7" t="inlineStr">
        <is>
          <t>Source / basis</t>
        </is>
      </c>
    </row>
    <row r="6">
      <c r="A6" s="10" t="inlineStr">
        <is>
          <t>1. VOLUME DRIVERS — Average Daily Turnover (ADTO) &amp; market share</t>
        </is>
      </c>
      <c r="B6" s="11" t="n"/>
      <c r="C6" s="11" t="n"/>
      <c r="D6" s="11" t="n"/>
      <c r="E6" s="11" t="n"/>
      <c r="F6" s="11" t="n"/>
      <c r="G6" s="11" t="n"/>
      <c r="H6" s="11" t="n"/>
    </row>
    <row r="7">
      <c r="A7" s="7" t="inlineStr">
        <is>
          <t>Equity derivatives premium ADTO (Rs cr)</t>
        </is>
      </c>
      <c r="B7" s="12" t="n">
        <v>3200</v>
      </c>
      <c r="C7" s="12" t="n">
        <v>6500</v>
      </c>
      <c r="D7" s="12" t="n">
        <v>12000</v>
      </c>
      <c r="E7" s="12" t="n">
        <v>15600</v>
      </c>
      <c r="F7" s="12" t="n">
        <v>19500</v>
      </c>
      <c r="G7" s="12" t="n">
        <v>23400</v>
      </c>
      <c r="H7" s="13" t="inlineStr">
        <is>
          <t>SECONDARY: BSE monthly volume disclosures; premium turnover. Editable seed.</t>
        </is>
      </c>
    </row>
    <row r="8">
      <c r="A8" s="7" t="inlineStr">
        <is>
          <t xml:space="preserve">  ADTO growth — derivatives (%)</t>
        </is>
      </c>
      <c r="E8" s="14" t="n">
        <v>0.3</v>
      </c>
      <c r="F8" s="14" t="n">
        <v>0.25</v>
      </c>
      <c r="G8" s="14" t="n">
        <v>0.2</v>
      </c>
      <c r="H8" s="13" t="inlineStr">
        <is>
          <t>KEY LEVER. Derivatives is the dominant swing factor (FY25-&gt;FY26 premium ADTO ~+85%).</t>
        </is>
      </c>
    </row>
    <row r="9">
      <c r="A9" s="7" t="inlineStr">
        <is>
          <t>Equity cash ADTO (Rs cr)</t>
        </is>
      </c>
      <c r="B9" s="12" t="n">
        <v>6800</v>
      </c>
      <c r="C9" s="12" t="n">
        <v>7000</v>
      </c>
      <c r="D9" s="12" t="n">
        <v>7165</v>
      </c>
      <c r="E9" s="12" t="n">
        <v>7523</v>
      </c>
      <c r="F9" s="12" t="n">
        <v>7975</v>
      </c>
      <c r="G9" s="12" t="n">
        <v>8454</v>
      </c>
      <c r="H9" s="13" t="inlineStr">
        <is>
          <t>SECONDARY: BSE cash-market turnover. FY26 cash turnover rose ~2.4%.</t>
        </is>
      </c>
    </row>
    <row r="10">
      <c r="A10" s="7" t="inlineStr">
        <is>
          <t xml:space="preserve">  ADTO growth — cash (%)</t>
        </is>
      </c>
      <c r="E10" s="14" t="n">
        <v>0.05</v>
      </c>
      <c r="F10" s="14" t="n">
        <v>0.06</v>
      </c>
      <c r="G10" s="14" t="n">
        <v>0.06</v>
      </c>
      <c r="H10" s="13" t="inlineStr">
        <is>
          <t>Cash-market ADTO growth. Lower and steadier than derivatives.</t>
        </is>
      </c>
    </row>
    <row r="11">
      <c r="A11" s="7" t="inlineStr">
        <is>
          <t>BSE derivatives market share vs NSE (%)</t>
        </is>
      </c>
      <c r="B11" s="14" t="n">
        <v>0.06</v>
      </c>
      <c r="C11" s="14" t="n">
        <v>0.12</v>
      </c>
      <c r="D11" s="14" t="n">
        <v>0.22</v>
      </c>
      <c r="E11" s="14" t="n">
        <v>0.26</v>
      </c>
      <c r="F11" s="14" t="n">
        <v>0.28</v>
      </c>
      <c r="G11" s="14" t="n">
        <v>0.29</v>
      </c>
      <c r="H11" s="13" t="inlineStr">
        <is>
          <t>KEY LEVER. BSE has taken derivatives share sharply. Treated as a lever, not a constant.</t>
        </is>
      </c>
    </row>
    <row r="12">
      <c r="A12" s="10" t="inlineStr">
        <is>
          <t>2. REALISATION — Take-rate on turnover per segment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>
      <c r="A13" s="7" t="inlineStr">
        <is>
          <t>Derivatives take-rate (fraction of turnover)</t>
        </is>
      </c>
      <c r="E13" s="15" t="n">
        <v>0.0010448</v>
      </c>
      <c r="F13" s="15" t="n">
        <v>0.0010448</v>
      </c>
      <c r="G13" s="15" t="n">
        <v>0.0010448</v>
      </c>
      <c r="H13" s="13" t="inlineStr">
        <is>
          <t xml:space="preserve"> = FY26 deriv txn 3134cr / (deriv ADTO 12000 x 250 days). ~0.1045%. SEBI pricing risk.</t>
        </is>
      </c>
    </row>
    <row r="14">
      <c r="A14" s="7" t="inlineStr">
        <is>
          <t>Cash take-rate (fraction of turnover)</t>
        </is>
      </c>
      <c r="E14" s="15" t="n">
        <v>0.0001397</v>
      </c>
      <c r="F14" s="15" t="n">
        <v>0.0001397</v>
      </c>
      <c r="G14" s="15" t="n">
        <v>0.0001397</v>
      </c>
      <c r="H14" s="13" t="inlineStr">
        <is>
          <t xml:space="preserve"> = FY26 cash txn 250cr / (cash ADTO 7165 x 250 days). ~0.01397%. Fell ~19.5% in FY26.</t>
        </is>
      </c>
    </row>
    <row r="15">
      <c r="A15" s="7" t="inlineStr">
        <is>
          <t>Trading days per year</t>
        </is>
      </c>
      <c r="B15" s="12" t="n">
        <v>250</v>
      </c>
      <c r="C15" s="12" t="n">
        <v>250</v>
      </c>
      <c r="D15" s="12" t="n">
        <v>250</v>
      </c>
      <c r="E15" s="12" t="n">
        <v>250</v>
      </c>
      <c r="F15" s="12" t="n">
        <v>250</v>
      </c>
      <c r="G15" s="12" t="n">
        <v>250</v>
      </c>
      <c r="H15" s="13" t="inlineStr">
        <is>
          <t>Approx NSE/BSE trading days. Editable.</t>
        </is>
      </c>
    </row>
    <row r="16">
      <c r="A16" s="10" t="inlineStr">
        <is>
          <t>3. OTHER REVENUE DRIVERS (growth on prior year)</t>
        </is>
      </c>
      <c r="B16" s="11" t="n"/>
      <c r="C16" s="11" t="n"/>
      <c r="D16" s="11" t="n"/>
      <c r="E16" s="11" t="n"/>
      <c r="F16" s="11" t="n"/>
      <c r="G16" s="11" t="n"/>
      <c r="H16" s="11" t="n"/>
    </row>
    <row r="17">
      <c r="A17" s="7" t="inlineStr">
        <is>
          <t>StAR MF platform fees growth (%)</t>
        </is>
      </c>
      <c r="E17" s="14" t="n">
        <v>0.2</v>
      </c>
      <c r="F17" s="14" t="n">
        <v>0.18</v>
      </c>
      <c r="G17" s="14" t="n">
        <v>0.15</v>
      </c>
      <c r="H17" s="13" t="inlineStr">
        <is>
          <t>MF platform fees. FY26 +23%.</t>
        </is>
      </c>
    </row>
    <row r="18">
      <c r="A18" s="7" t="inlineStr">
        <is>
          <t>Listing fees growth (%)</t>
        </is>
      </c>
      <c r="E18" s="14" t="n">
        <v>0.12</v>
      </c>
      <c r="F18" s="14" t="n">
        <v>0.11</v>
      </c>
      <c r="G18" s="14" t="n">
        <v>0.1</v>
      </c>
      <c r="H18" s="13" t="inlineStr">
        <is>
          <t>Linked to IPO/listings pipeline. FY26 +10%.</t>
        </is>
      </c>
    </row>
    <row r="19">
      <c r="A19" s="7" t="inlineStr">
        <is>
          <t>Book building / IPO fees growth (%)</t>
        </is>
      </c>
      <c r="E19" s="14" t="n">
        <v>0.12</v>
      </c>
      <c r="F19" s="14" t="n">
        <v>0.1</v>
      </c>
      <c r="G19" s="14" t="n">
        <v>0.1</v>
      </c>
      <c r="H19" s="13" t="inlineStr">
        <is>
          <t>IPO processing fees. FY26 +9%.</t>
        </is>
      </c>
    </row>
    <row r="20">
      <c r="A20" s="7" t="inlineStr">
        <is>
          <t>Data feed &amp; index licensing growth (%)</t>
        </is>
      </c>
      <c r="E20" s="14" t="n">
        <v>0.15</v>
      </c>
      <c r="F20" s="14" t="n">
        <v>0.14</v>
      </c>
      <c r="G20" s="14" t="n">
        <v>0.12</v>
      </c>
      <c r="H20" s="13" t="inlineStr">
        <is>
          <t>Asia Index/S&amp;P BSE + colocation. FY26 colocation +133%.</t>
        </is>
      </c>
    </row>
    <row r="21">
      <c r="A21" s="7" t="inlineStr">
        <is>
          <t>Other operating income growth (%)</t>
        </is>
      </c>
      <c r="E21" s="14" t="n">
        <v>0.15</v>
      </c>
      <c r="F21" s="14" t="n">
        <v>0.12</v>
      </c>
      <c r="G21" s="14" t="n">
        <v>0.1</v>
      </c>
      <c r="H21" s="13" t="inlineStr">
        <is>
          <t>Residual other operating income.</t>
        </is>
      </c>
    </row>
    <row r="22">
      <c r="A22" s="10" t="inlineStr">
        <is>
          <t>4. INVESTMENT / TREASURY INCOME</t>
        </is>
      </c>
      <c r="B22" s="11" t="n"/>
      <c r="C22" s="11" t="n"/>
      <c r="D22" s="11" t="n"/>
      <c r="E22" s="11" t="n"/>
      <c r="F22" s="11" t="n"/>
      <c r="G22" s="11" t="n"/>
      <c r="H22" s="11" t="n"/>
    </row>
    <row r="23">
      <c r="A23" s="7" t="inlineStr">
        <is>
          <t>Investable corpus incl SGF (Rs cr)</t>
        </is>
      </c>
      <c r="B23" s="12" t="n">
        <v>4000</v>
      </c>
      <c r="C23" s="12" t="n">
        <v>4800</v>
      </c>
      <c r="D23" s="12" t="n">
        <v>5200</v>
      </c>
      <c r="E23" s="12" t="n">
        <v>5720</v>
      </c>
      <c r="F23" s="12" t="n">
        <v>6292</v>
      </c>
      <c r="G23" s="12" t="n">
        <v>6921</v>
      </c>
      <c r="H23" s="13" t="inlineStr">
        <is>
          <t>SECONDARY: own investable surplus + Core SGF corpus. Editable seed.</t>
        </is>
      </c>
    </row>
    <row r="24">
      <c r="A24" s="7" t="inlineStr">
        <is>
          <t xml:space="preserve">  Corpus growth (%)</t>
        </is>
      </c>
      <c r="E24" s="14" t="n">
        <v>0.1</v>
      </c>
      <c r="F24" s="14" t="n">
        <v>0.1</v>
      </c>
      <c r="G24" s="14" t="n">
        <v>0.1</v>
      </c>
      <c r="H24" s="13" t="inlineStr">
        <is>
          <t>Corpus reinvestment growth.</t>
        </is>
      </c>
    </row>
    <row r="25">
      <c r="A25" s="7" t="inlineStr">
        <is>
          <t>Investment income yield (%)</t>
        </is>
      </c>
      <c r="E25" s="14" t="n">
        <v>0.056</v>
      </c>
      <c r="F25" s="14" t="n">
        <v>0.056</v>
      </c>
      <c r="G25" s="14" t="n">
        <v>0.056</v>
      </c>
      <c r="H25" s="13" t="inlineStr">
        <is>
          <t>Yield on treasury+SGF. FY26 inv income 290cr / ~5200cr corpus ~5.6%.</t>
        </is>
      </c>
    </row>
    <row r="26">
      <c r="A26" s="10" t="inlineStr">
        <is>
          <t>5. OPERATING COST DRIVERS (growth on prior year)</t>
        </is>
      </c>
      <c r="B26" s="11" t="n"/>
      <c r="C26" s="11" t="n"/>
      <c r="D26" s="11" t="n"/>
      <c r="E26" s="11" t="n"/>
      <c r="F26" s="11" t="n"/>
      <c r="G26" s="11" t="n"/>
      <c r="H26" s="11" t="n"/>
    </row>
    <row r="27">
      <c r="A27" s="7" t="inlineStr">
        <is>
          <t>Employee cost growth (%)</t>
        </is>
      </c>
      <c r="E27" s="14" t="n">
        <v>0.14</v>
      </c>
      <c r="F27" s="14" t="n">
        <v>0.12</v>
      </c>
      <c r="G27" s="14" t="n">
        <v>0.11</v>
      </c>
      <c r="H27" s="13" t="inlineStr">
        <is>
          <t>Employee benefits. FY26 +26%.</t>
        </is>
      </c>
    </row>
    <row r="28">
      <c r="A28" s="7" t="inlineStr">
        <is>
          <t>Technology cost growth (%)</t>
        </is>
      </c>
      <c r="E28" s="14" t="n">
        <v>0.18</v>
      </c>
      <c r="F28" s="14" t="n">
        <v>0.15</v>
      </c>
      <c r="G28" s="14" t="n">
        <v>0.13</v>
      </c>
      <c r="H28" s="13" t="inlineStr">
        <is>
          <t>Tech/infra cost. FY26 +24%.</t>
        </is>
      </c>
    </row>
    <row r="29">
      <c r="A29" s="7" t="inlineStr">
        <is>
          <t>SEBI regulatory fee (% of txn charges)</t>
        </is>
      </c>
      <c r="E29" s="14" t="n">
        <v>0.12</v>
      </c>
      <c r="F29" s="14" t="n">
        <v>0.12</v>
      </c>
      <c r="G29" s="14" t="n">
        <v>0.12</v>
      </c>
      <c r="H29" s="13" t="inlineStr">
        <is>
          <t>SEBI reg fee scales with turnover/txn charges. FY26 566cr on 3669cr txn ~15%; editable.</t>
        </is>
      </c>
    </row>
    <row r="30">
      <c r="A30" s="7" t="inlineStr">
        <is>
          <t>Other admin cost growth (%)</t>
        </is>
      </c>
      <c r="E30" s="14" t="n">
        <v>0.1</v>
      </c>
      <c r="F30" s="14" t="n">
        <v>0.09</v>
      </c>
      <c r="G30" s="14" t="n">
        <v>0.08</v>
      </c>
      <c r="H30" s="13" t="inlineStr">
        <is>
          <t>Other administrative expenses.</t>
        </is>
      </c>
    </row>
    <row r="31">
      <c r="A31" s="7" t="inlineStr">
        <is>
          <t>Clearing &amp; settlement (% of txn charges)</t>
        </is>
      </c>
      <c r="E31" s="14" t="n">
        <v>0.08</v>
      </c>
      <c r="F31" s="14" t="n">
        <v>0.08</v>
      </c>
      <c r="G31" s="14" t="n">
        <v>0.08</v>
      </c>
      <c r="H31" s="13" t="inlineStr">
        <is>
          <t>ICCL clearing cost, scales with volume.</t>
        </is>
      </c>
    </row>
    <row r="32">
      <c r="A32" s="10" t="inlineStr">
        <is>
          <t>6. D&amp;A, CAPEX, WORKING CAPITAL, TAX</t>
        </is>
      </c>
      <c r="B32" s="11" t="n"/>
      <c r="C32" s="11" t="n"/>
      <c r="D32" s="11" t="n"/>
      <c r="E32" s="11" t="n"/>
      <c r="F32" s="11" t="n"/>
      <c r="G32" s="11" t="n"/>
      <c r="H32" s="11" t="n"/>
    </row>
    <row r="33">
      <c r="A33" s="7" t="inlineStr">
        <is>
          <t>Capex (% of revenue)</t>
        </is>
      </c>
      <c r="E33" s="14" t="n">
        <v>0.08</v>
      </c>
      <c r="F33" s="14" t="n">
        <v>0.07000000000000001</v>
      </c>
      <c r="G33" s="14" t="n">
        <v>0.06</v>
      </c>
      <c r="H33" s="13" t="inlineStr">
        <is>
          <t>Capex intensity. FY26 elevated (515cr) on data-centre build.</t>
        </is>
      </c>
    </row>
    <row r="34">
      <c r="A34" s="7" t="inlineStr">
        <is>
          <t>D&amp;A (% of opening net block)</t>
        </is>
      </c>
      <c r="E34" s="14" t="n">
        <v>0.22</v>
      </c>
      <c r="F34" s="14" t="n">
        <v>0.22</v>
      </c>
      <c r="G34" s="14" t="n">
        <v>0.22</v>
      </c>
      <c r="H34" s="13" t="inlineStr">
        <is>
          <t>Depreciation on PPE. Editable schedule driver.</t>
        </is>
      </c>
    </row>
    <row r="35">
      <c r="A35" s="7" t="inlineStr">
        <is>
          <t>Receivable days (on revenue)</t>
        </is>
      </c>
      <c r="E35" s="12" t="n">
        <v>42</v>
      </c>
      <c r="F35" s="12" t="n">
        <v>42</v>
      </c>
      <c r="G35" s="12" t="n">
        <v>42</v>
      </c>
      <c r="H35" s="13" t="inlineStr">
        <is>
          <t>Trade receivable days. FY26 553cr / 4834cr rev ~42d.</t>
        </is>
      </c>
    </row>
    <row r="36">
      <c r="A36" s="7" t="inlineStr">
        <is>
          <t>Other current liab (% of revenue)</t>
        </is>
      </c>
      <c r="E36" s="14" t="n">
        <v>1.1</v>
      </c>
      <c r="F36" s="14" t="n">
        <v>1.05</v>
      </c>
      <c r="G36" s="14" t="n">
        <v>1</v>
      </c>
      <c r="H36" s="13" t="inlineStr">
        <is>
          <t>Current liabilities incl clearing/settlement float scale with activity.</t>
        </is>
      </c>
    </row>
    <row r="37">
      <c r="A37" s="7" t="inlineStr">
        <is>
          <t>Effective tax rate (%)</t>
        </is>
      </c>
      <c r="E37" s="14" t="n">
        <v>0.25</v>
      </c>
      <c r="F37" s="14" t="n">
        <v>0.25</v>
      </c>
      <c r="G37" s="14" t="n">
        <v>0.25</v>
      </c>
      <c r="H37" s="13" t="inlineStr">
        <is>
          <t>Effective tax. FY26 824cr / 3299cr PBT ~25%.</t>
        </is>
      </c>
    </row>
    <row r="38">
      <c r="A38" s="7" t="inlineStr">
        <is>
          <t>Dividend payout (% of PAT)</t>
        </is>
      </c>
      <c r="E38" s="14" t="n">
        <v>0.13</v>
      </c>
      <c r="F38" s="14" t="n">
        <v>0.13</v>
      </c>
      <c r="G38" s="14" t="n">
        <v>0.13</v>
      </c>
      <c r="H38" s="13" t="inlineStr">
        <is>
          <t>Payout ratio. FY26 316cr / 2487cr PAT ~13%.</t>
        </is>
      </c>
    </row>
    <row r="39">
      <c r="A39" s="10" t="inlineStr">
        <is>
          <t>7. VALUATION — WACC build-up (CAPM) &amp; terminal</t>
        </is>
      </c>
      <c r="B39" s="11" t="n"/>
      <c r="C39" s="11" t="n"/>
      <c r="D39" s="11" t="n"/>
      <c r="E39" s="11" t="n"/>
      <c r="F39" s="11" t="n"/>
      <c r="G39" s="11" t="n"/>
      <c r="H39" s="11" t="n"/>
    </row>
    <row r="40">
      <c r="A40" s="7" t="inlineStr">
        <is>
          <t>Risk-free rate (%)</t>
        </is>
      </c>
      <c r="E40" s="14" t="n">
        <v>0.07000000000000001</v>
      </c>
      <c r="H40" s="13" t="inlineStr">
        <is>
          <t>SECONDARY: 10Y India G-sec ~7.0%. Editable single input (col E).</t>
        </is>
      </c>
    </row>
    <row r="41">
      <c r="A41" s="7" t="inlineStr">
        <is>
          <t>Equity risk premium (%)</t>
        </is>
      </c>
      <c r="E41" s="14" t="n">
        <v>0.06</v>
      </c>
      <c r="H41" s="13" t="inlineStr">
        <is>
          <t>SECONDARY: India ERP ~6.0%. Editable single input.</t>
        </is>
      </c>
    </row>
    <row r="42">
      <c r="A42" s="7" t="inlineStr">
        <is>
          <t>Beta (levered)</t>
        </is>
      </c>
      <c r="E42" s="15" t="n">
        <v>0.95</v>
      </c>
      <c r="H42" s="13" t="inlineStr">
        <is>
          <t>SECONDARY: BSE beta vs Nifty ~0.95. Editable single input.</t>
        </is>
      </c>
    </row>
    <row r="43">
      <c r="A43" s="7" t="inlineStr">
        <is>
          <t>Pre-tax cost of debt (%)</t>
        </is>
      </c>
      <c r="E43" s="14" t="n">
        <v>0.08</v>
      </c>
      <c r="H43" s="13" t="inlineStr">
        <is>
          <t>BSE is effectively debt-free; nominal cost of debt for structure.</t>
        </is>
      </c>
    </row>
    <row r="44">
      <c r="A44" s="7" t="inlineStr">
        <is>
          <t>Target weight — equity (%)</t>
        </is>
      </c>
      <c r="E44" s="14" t="n">
        <v>1</v>
      </c>
      <c r="H44" s="13" t="inlineStr">
        <is>
          <t>BSE runs ~100% equity funded. Editable target structure.</t>
        </is>
      </c>
    </row>
    <row r="45">
      <c r="A45" s="7" t="inlineStr">
        <is>
          <t>Target weight — debt (%)</t>
        </is>
      </c>
      <c r="E45" s="16">
        <f>1-E44</f>
        <v/>
      </c>
      <c r="H45" s="13" t="inlineStr">
        <is>
          <t>Target debt weight = 1 - equity weight (same-sheet formula).</t>
        </is>
      </c>
    </row>
    <row r="46">
      <c r="A46" s="7" t="inlineStr">
        <is>
          <t>Terminal growth rate (%)</t>
        </is>
      </c>
      <c r="E46" s="14" t="n">
        <v>0.05</v>
      </c>
      <c r="H46" s="13" t="inlineStr">
        <is>
          <t>Long-run growth into perpetuity ~5.0%. Editable; used in Gordon TV.</t>
        </is>
      </c>
    </row>
    <row r="47">
      <c r="A47" s="10" t="inlineStr">
        <is>
          <t>8. MARKET DATA (BSE share price &amp; count)</t>
        </is>
      </c>
      <c r="B47" s="11" t="n"/>
      <c r="C47" s="11" t="n"/>
      <c r="D47" s="11" t="n"/>
      <c r="E47" s="11" t="n"/>
      <c r="F47" s="11" t="n"/>
      <c r="G47" s="11" t="n"/>
      <c r="H47" s="11" t="n"/>
    </row>
    <row r="48">
      <c r="A48" s="7" t="inlineStr">
        <is>
          <t>BSE share price (Rs)</t>
        </is>
      </c>
      <c r="E48" s="15" t="n">
        <v>3409.8</v>
      </c>
      <c r="H48" s="13" t="inlineStr">
        <is>
          <t>NSE Bhavcopy close 4-Sep-2026 = Rs 3,409.80. Editable.</t>
        </is>
      </c>
    </row>
    <row r="49">
      <c r="A49" s="7" t="inlineStr">
        <is>
          <t>BSE shares outstanding (cr)</t>
        </is>
      </c>
      <c r="E49" s="15" t="n">
        <v>40.7884</v>
      </c>
      <c r="H49" s="13" t="inlineStr">
        <is>
          <t>Paid-up 40,78,84,077 = 40.7884 cr [AR FY26 Note 14].</t>
        </is>
      </c>
    </row>
    <row r="50">
      <c r="A50" s="7" t="inlineStr">
        <is>
          <t>BSE net debt (Rs cr)</t>
        </is>
      </c>
      <c r="E50" s="12" t="n">
        <v>-5000</v>
      </c>
      <c r="H50" s="13" t="inlineStr">
        <is>
          <t>BSE is net cash (debt-free); negative = net cash. Editable seed for EV bridge.</t>
        </is>
      </c>
    </row>
    <row r="51">
      <c r="A51" s="10" t="inlineStr">
        <is>
          <t>9. MISC PROJECTED LINE INPUTS (editable, kept explicit)</t>
        </is>
      </c>
      <c r="B51" s="11" t="n"/>
      <c r="C51" s="11" t="n"/>
      <c r="D51" s="11" t="n"/>
      <c r="E51" s="11" t="n"/>
      <c r="F51" s="11" t="n"/>
      <c r="G51" s="11" t="n"/>
      <c r="H51" s="11" t="n"/>
    </row>
    <row r="52">
      <c r="A52" s="7" t="inlineStr">
        <is>
          <t>Currency derivatives txn charges (Rs cr)</t>
        </is>
      </c>
      <c r="E52" s="17" t="n">
        <v>0</v>
      </c>
      <c r="F52" s="17" t="n">
        <v>0</v>
      </c>
      <c r="G52" s="17" t="n">
        <v>0</v>
      </c>
      <c r="H52" s="13" t="inlineStr">
        <is>
          <t>NOT-DISCLOSED in MD&amp;A split. Editable; default 0 (immaterial).</t>
        </is>
      </c>
    </row>
    <row r="53">
      <c r="A53" s="7" t="inlineStr">
        <is>
          <t>SLB txn charges (Rs cr)</t>
        </is>
      </c>
      <c r="E53" s="17" t="n">
        <v>0</v>
      </c>
      <c r="F53" s="17" t="n">
        <v>0</v>
      </c>
      <c r="G53" s="17" t="n">
        <v>0</v>
      </c>
      <c r="H53" s="13" t="inlineStr">
        <is>
          <t>NOT-DISCLOSED separately. Editable; default 0 (immaterial).</t>
        </is>
      </c>
    </row>
    <row r="54">
      <c r="A54" s="7" t="inlineStr">
        <is>
          <t>Finance cost (Rs cr)</t>
        </is>
      </c>
      <c r="E54" s="17" t="n">
        <v>0</v>
      </c>
      <c r="F54" s="17" t="n">
        <v>0</v>
      </c>
      <c r="G54" s="17" t="n">
        <v>0</v>
      </c>
      <c r="H54" s="13" t="inlineStr">
        <is>
          <t>BSE effectively debt-free. Editable; default 0.</t>
        </is>
      </c>
    </row>
    <row r="55">
      <c r="A55" s="7" t="inlineStr">
        <is>
          <t>Exceptional items (Rs cr)</t>
        </is>
      </c>
      <c r="E55" s="17" t="n">
        <v>0</v>
      </c>
      <c r="F55" s="17" t="n">
        <v>0</v>
      </c>
      <c r="G55" s="17" t="n">
        <v>0</v>
      </c>
      <c r="H55" s="13" t="inlineStr">
        <is>
          <t>Non-recurring; editable; default 0.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0" customWidth="1" min="8" max="8"/>
  </cols>
  <sheetData>
    <row r="1" ht="24" customHeight="1">
      <c r="A1" s="1" t="inlineStr">
        <is>
          <t>BSE Ltd — Consolidated Income Statement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FY24-FY26 actuals (blue). FY27E-FY29E projected via Assumptions + Segment build. Revenue links (green) from Segment Revenue Build.</t>
        </is>
      </c>
    </row>
    <row r="3">
      <c r="A3" s="4" t="inlineStr">
        <is>
          <t>Units: Rs Crore. Consolidated basis.</t>
        </is>
      </c>
    </row>
    <row r="4">
      <c r="B4" s="5" t="inlineStr">
        <is>
          <t>Actual</t>
        </is>
      </c>
      <c r="E4" s="6" t="inlineStr">
        <is>
          <t>Projected</t>
        </is>
      </c>
    </row>
    <row r="5">
      <c r="A5" s="7" t="inlineStr">
        <is>
          <t>Rs Crore</t>
        </is>
      </c>
      <c r="B5" s="8" t="inlineStr">
        <is>
          <t>FY24</t>
        </is>
      </c>
      <c r="C5" s="8" t="inlineStr">
        <is>
          <t>FY25</t>
        </is>
      </c>
      <c r="D5" s="8" t="inlineStr">
        <is>
          <t>FY26</t>
        </is>
      </c>
      <c r="E5" s="9" t="inlineStr">
        <is>
          <t>FY27E</t>
        </is>
      </c>
      <c r="F5" s="9" t="inlineStr">
        <is>
          <t>FY28E</t>
        </is>
      </c>
      <c r="G5" s="9" t="inlineStr">
        <is>
          <t>FY29E</t>
        </is>
      </c>
      <c r="H5" s="7" t="inlineStr">
        <is>
          <t>Source / formula basis</t>
        </is>
      </c>
    </row>
    <row r="6">
      <c r="A6" s="10" t="inlineStr">
        <is>
          <t>INCOME</t>
        </is>
      </c>
      <c r="B6" s="11" t="n"/>
      <c r="C6" s="11" t="n"/>
      <c r="D6" s="11" t="n"/>
      <c r="E6" s="11" t="n"/>
      <c r="F6" s="11" t="n"/>
      <c r="G6" s="11" t="n"/>
      <c r="H6" s="11" t="n"/>
    </row>
    <row r="7">
      <c r="A7" s="7" t="inlineStr">
        <is>
          <t>Revenue from operations</t>
        </is>
      </c>
      <c r="B7" s="18">
        <f>'Segment Revenue Build'!B23</f>
        <v/>
      </c>
      <c r="C7" s="18">
        <f>'Segment Revenue Build'!C23</f>
        <v/>
      </c>
      <c r="D7" s="18">
        <f>'Segment Revenue Build'!D23</f>
        <v/>
      </c>
      <c r="E7" s="18">
        <f>'Segment Revenue Build'!E23</f>
        <v/>
      </c>
      <c r="F7" s="18">
        <f>'Segment Revenue Build'!F23</f>
        <v/>
      </c>
      <c r="G7" s="18">
        <f>'Segment Revenue Build'!G23</f>
        <v/>
      </c>
      <c r="H7" s="13" t="inlineStr">
        <is>
          <t>Link to Segment Revenue Build (consolidated line).</t>
        </is>
      </c>
    </row>
    <row r="8">
      <c r="A8" s="19" t="inlineStr">
        <is>
          <t>Investment / treasury income</t>
        </is>
      </c>
      <c r="B8" s="20">
        <f>'Segment Revenue Build'!B21</f>
        <v/>
      </c>
      <c r="C8" s="20">
        <f>'Segment Revenue Build'!C21</f>
        <v/>
      </c>
      <c r="D8" s="20">
        <f>'Segment Revenue Build'!D21</f>
        <v/>
      </c>
      <c r="E8" s="20">
        <f>'Segment Revenue Build'!E21</f>
        <v/>
      </c>
      <c r="F8" s="20">
        <f>'Segment Revenue Build'!F21</f>
        <v/>
      </c>
      <c r="G8" s="20">
        <f>'Segment Revenue Build'!G21</f>
        <v/>
      </c>
      <c r="H8" s="13" t="inlineStr">
        <is>
          <t>Link to Segment Revenue Build investment income.</t>
        </is>
      </c>
    </row>
    <row r="9">
      <c r="A9" s="19" t="inlineStr">
        <is>
          <t>Other income</t>
        </is>
      </c>
      <c r="B9" s="17" t="n">
        <v>25.4</v>
      </c>
      <c r="C9" s="17" t="n">
        <v>24.27</v>
      </c>
      <c r="D9" s="17" t="n">
        <v>23.85</v>
      </c>
      <c r="E9" s="20">
        <f>D9*(1+Assumptions!$E$21)</f>
        <v/>
      </c>
      <c r="F9" s="20">
        <f>E9*(1+Assumptions!$F$21)</f>
        <v/>
      </c>
      <c r="G9" s="20">
        <f>F9*(1+Assumptions!$G$21)</f>
        <v/>
      </c>
      <c r="H9" s="13" t="inlineStr">
        <is>
          <t>Other income grown at other-op growth (Assumptions).</t>
        </is>
      </c>
    </row>
    <row r="10">
      <c r="A10" s="7" t="inlineStr">
        <is>
          <t>Total income</t>
        </is>
      </c>
      <c r="B10" s="21">
        <f>B7+B8+B9</f>
        <v/>
      </c>
      <c r="C10" s="21">
        <f>C7+C8+C9</f>
        <v/>
      </c>
      <c r="D10" s="21">
        <f>D7+D8+D9</f>
        <v/>
      </c>
      <c r="E10" s="21">
        <f>E7+E8+E9</f>
        <v/>
      </c>
      <c r="F10" s="21">
        <f>F7+F8+F9</f>
        <v/>
      </c>
      <c r="G10" s="21">
        <f>G7+G8+G9</f>
        <v/>
      </c>
      <c r="H10" s="13" t="inlineStr">
        <is>
          <t>Revenue + investment income + other income.</t>
        </is>
      </c>
    </row>
    <row r="11">
      <c r="A11" s="10" t="inlineStr">
        <is>
          <t>EXPENSES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>
      <c r="A12" s="19" t="inlineStr">
        <is>
          <t>Employee benefits expense</t>
        </is>
      </c>
      <c r="B12" s="17" t="n">
        <v>204.71</v>
      </c>
      <c r="C12" s="17" t="n">
        <v>236.62</v>
      </c>
      <c r="D12" s="17" t="n">
        <v>297.81</v>
      </c>
      <c r="E12" s="20">
        <f>D12*(1+Assumptions!$E$27)</f>
        <v/>
      </c>
      <c r="F12" s="20">
        <f>E12*(1+Assumptions!$F$27)</f>
        <v/>
      </c>
      <c r="G12" s="20">
        <f>F12*(1+Assumptions!$G$27)</f>
        <v/>
      </c>
      <c r="H12" s="13" t="inlineStr">
        <is>
          <t>Prior x (1 + employee growth).</t>
        </is>
      </c>
    </row>
    <row r="13">
      <c r="A13" s="19" t="inlineStr">
        <is>
          <t>Technology &amp; other operating expense</t>
        </is>
      </c>
      <c r="B13" s="17" t="n">
        <v>137.44</v>
      </c>
      <c r="C13" s="17" t="n">
        <v>164.29</v>
      </c>
      <c r="D13" s="17" t="n">
        <v>203.13</v>
      </c>
      <c r="E13" s="20">
        <f>D13*(1+Assumptions!$E$28)</f>
        <v/>
      </c>
      <c r="F13" s="20">
        <f>E13*(1+Assumptions!$F$28)</f>
        <v/>
      </c>
      <c r="G13" s="20">
        <f>F13*(1+Assumptions!$G$28)</f>
        <v/>
      </c>
      <c r="H13" s="13" t="inlineStr">
        <is>
          <t>Prior x (1 + technology growth).</t>
        </is>
      </c>
    </row>
    <row r="14">
      <c r="A14" s="19" t="inlineStr">
        <is>
          <t>SEBI / regulatory fees</t>
        </is>
      </c>
      <c r="B14" s="17" t="n">
        <v>169.77</v>
      </c>
      <c r="C14" s="17" t="n">
        <v>331.41</v>
      </c>
      <c r="D14" s="17" t="n">
        <v>566.16</v>
      </c>
      <c r="E14" s="20">
        <f>'Segment Revenue Build'!E12*Assumptions!$E$29</f>
        <v/>
      </c>
      <c r="F14" s="20">
        <f>'Segment Revenue Build'!F12*Assumptions!$F$29</f>
        <v/>
      </c>
      <c r="G14" s="20">
        <f>'Segment Revenue Build'!G12*Assumptions!$G$29</f>
        <v/>
      </c>
      <c r="H14" s="13" t="inlineStr">
        <is>
          <t>% of transaction charges (SEBI turnover fee). Link to Segment build.</t>
        </is>
      </c>
    </row>
    <row r="15">
      <c r="A15" s="19" t="inlineStr">
        <is>
          <t>Clearing &amp; settlement expense</t>
        </is>
      </c>
      <c r="B15" s="17" t="n">
        <v>133.14</v>
      </c>
      <c r="C15" s="17" t="n">
        <v>348.05</v>
      </c>
      <c r="D15" s="17" t="n">
        <v>280.35</v>
      </c>
      <c r="E15" s="20">
        <f>'Segment Revenue Build'!E12*Assumptions!$E$31</f>
        <v/>
      </c>
      <c r="F15" s="20">
        <f>'Segment Revenue Build'!F12*Assumptions!$F$31</f>
        <v/>
      </c>
      <c r="G15" s="20">
        <f>'Segment Revenue Build'!G12*Assumptions!$G$31</f>
        <v/>
      </c>
      <c r="H15" s="13" t="inlineStr">
        <is>
          <t>% of transaction charges. Link to Segment build.</t>
        </is>
      </c>
    </row>
    <row r="16">
      <c r="A16" s="19" t="inlineStr">
        <is>
          <t>Core SGF contribution</t>
        </is>
      </c>
      <c r="B16" s="17" t="n">
        <v>91.7</v>
      </c>
      <c r="C16" s="17" t="n">
        <v>90</v>
      </c>
      <c r="D16" s="17" t="n">
        <v>76.95999999999999</v>
      </c>
      <c r="E16" s="20">
        <f>D16*(1+Assumptions!$E$30)</f>
        <v/>
      </c>
      <c r="F16" s="20">
        <f>E16*(1+Assumptions!$F$30)</f>
        <v/>
      </c>
      <c r="G16" s="20">
        <f>F16*(1+Assumptions!$G$30)</f>
        <v/>
      </c>
      <c r="H16" s="13" t="inlineStr">
        <is>
          <t>Grown at admin growth (proxy).</t>
        </is>
      </c>
    </row>
    <row r="17">
      <c r="A17" s="19" t="inlineStr">
        <is>
          <t>Other administrative expenses</t>
        </is>
      </c>
      <c r="B17" s="17" t="n">
        <v>338.84</v>
      </c>
      <c r="C17" s="17" t="n">
        <v>201.54</v>
      </c>
      <c r="D17" s="17" t="n">
        <v>247.32</v>
      </c>
      <c r="E17" s="20">
        <f>D17*(1+Assumptions!$E$30)</f>
        <v/>
      </c>
      <c r="F17" s="20">
        <f>E17*(1+Assumptions!$F$30)</f>
        <v/>
      </c>
      <c r="G17" s="20">
        <f>F17*(1+Assumptions!$G$30)</f>
        <v/>
      </c>
      <c r="H17" s="13" t="inlineStr">
        <is>
          <t>Prior x (1 + admin growth).</t>
        </is>
      </c>
    </row>
    <row r="18">
      <c r="A18" s="19" t="inlineStr">
        <is>
          <t>Depreciation &amp; amortisation</t>
        </is>
      </c>
      <c r="B18" s="17" t="n">
        <v>95.44</v>
      </c>
      <c r="C18" s="17" t="n">
        <v>112.98</v>
      </c>
      <c r="D18" s="17" t="n">
        <v>158.96</v>
      </c>
      <c r="E18" s="20">
        <f>'Balance Sheet'!E9</f>
        <v/>
      </c>
      <c r="F18" s="20">
        <f>'Balance Sheet'!F9</f>
        <v/>
      </c>
      <c r="G18" s="20">
        <f>'Balance Sheet'!G9</f>
        <v/>
      </c>
      <c r="H18" s="13" t="inlineStr">
        <is>
          <t>Projected D&amp;A links to Balance Sheet depreciation schedule.</t>
        </is>
      </c>
    </row>
    <row r="19">
      <c r="A19" s="7" t="inlineStr">
        <is>
          <t>Total expenses</t>
        </is>
      </c>
      <c r="B19" s="21">
        <f>B12+B13+B14+B15+B16+B17+B18</f>
        <v/>
      </c>
      <c r="C19" s="21">
        <f>C12+C13+C14+C15+C16+C17+C18</f>
        <v/>
      </c>
      <c r="D19" s="21">
        <f>D12+D13+D14+D15+D16+D17+D18</f>
        <v/>
      </c>
      <c r="E19" s="21">
        <f>E12+E13+E14+E15+E16+E17+E18</f>
        <v/>
      </c>
      <c r="F19" s="21">
        <f>F12+F13+F14+F15+F16+F17+F18</f>
        <v/>
      </c>
      <c r="G19" s="21">
        <f>G12+G13+G14+G15+G16+G17+G18</f>
        <v/>
      </c>
      <c r="H19" s="13" t="inlineStr">
        <is>
          <t>Sum of expense lines (same-sheet).</t>
        </is>
      </c>
    </row>
    <row r="20">
      <c r="A20" s="10" t="inlineStr">
        <is>
          <t>PROFIT</t>
        </is>
      </c>
      <c r="B20" s="11" t="n"/>
      <c r="C20" s="11" t="n"/>
      <c r="D20" s="11" t="n"/>
      <c r="E20" s="11" t="n"/>
      <c r="F20" s="11" t="n"/>
      <c r="G20" s="11" t="n"/>
      <c r="H20" s="11" t="n"/>
    </row>
    <row r="21">
      <c r="A21" s="7" t="inlineStr">
        <is>
          <t>EBITDA</t>
        </is>
      </c>
      <c r="B21" s="21">
        <f>B10-(B19-B18)</f>
        <v/>
      </c>
      <c r="C21" s="21">
        <f>C10-(C19-C18)</f>
        <v/>
      </c>
      <c r="D21" s="21">
        <f>D10-(D19-D18)</f>
        <v/>
      </c>
      <c r="E21" s="21">
        <f>E10-(E19-E18)</f>
        <v/>
      </c>
      <c r="F21" s="21">
        <f>F10-(F19-F18)</f>
        <v/>
      </c>
      <c r="G21" s="21">
        <f>G10-(G19-G18)</f>
        <v/>
      </c>
      <c r="H21" s="13" t="inlineStr">
        <is>
          <t>Total income - operating expenses ex-D&amp;A.</t>
        </is>
      </c>
    </row>
    <row r="22">
      <c r="A22" s="7" t="inlineStr">
        <is>
          <t>EBIT</t>
        </is>
      </c>
      <c r="B22" s="21">
        <f>B21-B18</f>
        <v/>
      </c>
      <c r="C22" s="21">
        <f>C21-C18</f>
        <v/>
      </c>
      <c r="D22" s="21">
        <f>D21-D18</f>
        <v/>
      </c>
      <c r="E22" s="21">
        <f>E21-E18</f>
        <v/>
      </c>
      <c r="F22" s="21">
        <f>F21-F18</f>
        <v/>
      </c>
      <c r="G22" s="21">
        <f>G21-G18</f>
        <v/>
      </c>
      <c r="H22" s="13" t="inlineStr">
        <is>
          <t>EBITDA - D&amp;A.</t>
        </is>
      </c>
    </row>
    <row r="23">
      <c r="A23" s="19" t="inlineStr">
        <is>
          <t>Finance cost</t>
        </is>
      </c>
      <c r="B23" s="17" t="n">
        <v>15.05</v>
      </c>
      <c r="C23" s="17" t="n">
        <v>0.03</v>
      </c>
      <c r="D23" s="17" t="n">
        <v>0.16</v>
      </c>
      <c r="E23" s="20">
        <f>Assumptions!$E$54</f>
        <v/>
      </c>
      <c r="F23" s="20">
        <f>Assumptions!$F$54</f>
        <v/>
      </c>
      <c r="G23" s="20">
        <f>Assumptions!$G$54</f>
        <v/>
      </c>
      <c r="H23" s="13" t="inlineStr">
        <is>
          <t>BSE effectively debt-free; references Assumptions (default 0).</t>
        </is>
      </c>
    </row>
    <row r="24">
      <c r="A24" s="19" t="inlineStr">
        <is>
          <t>Share of associate profit (CDSL)</t>
        </is>
      </c>
      <c r="B24" s="17" t="n">
        <v>71.81999999999999</v>
      </c>
      <c r="C24" s="17" t="n">
        <v>82.59</v>
      </c>
      <c r="D24" s="17" t="n">
        <v>65.42</v>
      </c>
      <c r="E24" s="20">
        <f>D24*(1+Assumptions!$E$30)</f>
        <v/>
      </c>
      <c r="F24" s="20">
        <f>E24*(1+Assumptions!$F$30)</f>
        <v/>
      </c>
      <c r="G24" s="20">
        <f>F24*(1+Assumptions!$G$30)</f>
        <v/>
      </c>
      <c r="H24" s="13" t="inlineStr">
        <is>
          <t>Associate (CDSL) equity-method profit; grown modestly.</t>
        </is>
      </c>
    </row>
    <row r="25">
      <c r="A25" s="19" t="inlineStr">
        <is>
          <t>Exceptional items</t>
        </is>
      </c>
      <c r="B25" s="17" t="n">
        <v>406.62</v>
      </c>
      <c r="C25" s="17" t="n">
        <v>0</v>
      </c>
      <c r="D25" s="17" t="n">
        <v>0</v>
      </c>
      <c r="E25" s="20">
        <f>Assumptions!$E$55</f>
        <v/>
      </c>
      <c r="F25" s="20">
        <f>Assumptions!$F$55</f>
        <v/>
      </c>
      <c r="G25" s="20">
        <f>Assumptions!$G$55</f>
        <v/>
      </c>
      <c r="H25" s="13" t="inlineStr">
        <is>
          <t>Non-recurring; references Assumptions (default 0).</t>
        </is>
      </c>
    </row>
    <row r="26">
      <c r="A26" s="7" t="inlineStr">
        <is>
          <t>Profit before tax</t>
        </is>
      </c>
      <c r="B26" s="21">
        <f>B22-B23+B24+B25</f>
        <v/>
      </c>
      <c r="C26" s="21">
        <f>C22-C23+C24+C25</f>
        <v/>
      </c>
      <c r="D26" s="21">
        <f>D22-D23+D24+D25</f>
        <v/>
      </c>
      <c r="E26" s="21">
        <f>E22-E23+E24+E25</f>
        <v/>
      </c>
      <c r="F26" s="21">
        <f>F22-F23+F24+F25</f>
        <v/>
      </c>
      <c r="G26" s="21">
        <f>G22-G23+G24+G25</f>
        <v/>
      </c>
      <c r="H26" s="13" t="inlineStr">
        <is>
          <t>EBIT - finance cost + associate + exceptional.</t>
        </is>
      </c>
    </row>
    <row r="27">
      <c r="A27" s="19" t="inlineStr">
        <is>
          <t>Tax expense</t>
        </is>
      </c>
      <c r="B27" s="17" t="n">
        <v>223.86</v>
      </c>
      <c r="C27" s="17" t="n">
        <v>431.21</v>
      </c>
      <c r="D27" s="17" t="n">
        <v>823.84</v>
      </c>
      <c r="E27" s="20">
        <f>E26*Assumptions!$E$37</f>
        <v/>
      </c>
      <c r="F27" s="20">
        <f>F26*Assumptions!$F$37</f>
        <v/>
      </c>
      <c r="G27" s="20">
        <f>G26*Assumptions!$G$37</f>
        <v/>
      </c>
      <c r="H27" s="13" t="inlineStr">
        <is>
          <t>PBT x effective tax rate (Assumptions).</t>
        </is>
      </c>
    </row>
    <row r="28">
      <c r="A28" s="7" t="inlineStr">
        <is>
          <t>Profit after tax (total)</t>
        </is>
      </c>
      <c r="B28" s="21">
        <f>B26-B27</f>
        <v/>
      </c>
      <c r="C28" s="21">
        <f>C26-C27</f>
        <v/>
      </c>
      <c r="D28" s="21">
        <f>D26-D27</f>
        <v/>
      </c>
      <c r="E28" s="21">
        <f>E26-E27</f>
        <v/>
      </c>
      <c r="F28" s="21">
        <f>F26-F27</f>
        <v/>
      </c>
      <c r="G28" s="21">
        <f>G26-G27</f>
        <v/>
      </c>
      <c r="H28" s="13" t="inlineStr">
        <is>
          <t>PBT - tax.</t>
        </is>
      </c>
    </row>
    <row r="29">
      <c r="A29" s="19" t="inlineStr">
        <is>
          <t>EPS (Rs)</t>
        </is>
      </c>
      <c r="B29" s="22">
        <f>B28/Assumptions!$E$49</f>
        <v/>
      </c>
      <c r="C29" s="22">
        <f>C28/Assumptions!$E$49</f>
        <v/>
      </c>
      <c r="D29" s="22">
        <f>D28/Assumptions!$E$49</f>
        <v/>
      </c>
      <c r="E29" s="22">
        <f>E28/Assumptions!$E$49</f>
        <v/>
      </c>
      <c r="F29" s="22">
        <f>F28/Assumptions!$E$49</f>
        <v/>
      </c>
      <c r="G29" s="22">
        <f>G28/Assumptions!$E$49</f>
        <v/>
      </c>
      <c r="H29" s="13" t="inlineStr">
        <is>
          <t>PAT / shares outstanding (Assumptions).</t>
        </is>
      </c>
    </row>
    <row r="30">
      <c r="A30" s="19" t="inlineStr">
        <is>
          <t>Dividend declared</t>
        </is>
      </c>
      <c r="B30" s="20">
        <f>B28*Assumptions!$E$38</f>
        <v/>
      </c>
      <c r="C30" s="20">
        <f>C28*Assumptions!$E$38</f>
        <v/>
      </c>
      <c r="D30" s="20">
        <f>D28*Assumptions!$E$38</f>
        <v/>
      </c>
      <c r="E30" s="20">
        <f>E28*Assumptions!$E$38</f>
        <v/>
      </c>
      <c r="F30" s="20">
        <f>F28*Assumptions!$E$38</f>
        <v/>
      </c>
      <c r="G30" s="20">
        <f>G28*Assumptions!$E$38</f>
        <v/>
      </c>
      <c r="H30" s="13" t="inlineStr">
        <is>
          <t>PAT x payout ratio (Assumptions).</t>
        </is>
      </c>
    </row>
    <row r="31">
      <c r="A31" s="10" t="inlineStr">
        <is>
          <t>MARGINS &amp; CHECKS</t>
        </is>
      </c>
      <c r="B31" s="11" t="n"/>
      <c r="C31" s="11" t="n"/>
      <c r="D31" s="11" t="n"/>
      <c r="E31" s="11" t="n"/>
      <c r="F31" s="11" t="n"/>
      <c r="G31" s="11" t="n"/>
      <c r="H31" s="11" t="n"/>
    </row>
    <row r="32">
      <c r="A32" s="23" t="inlineStr">
        <is>
          <t>EBITDA margin (% of total income)</t>
        </is>
      </c>
      <c r="B32" s="16">
        <f>B21/B10</f>
        <v/>
      </c>
      <c r="C32" s="16">
        <f>C21/C10</f>
        <v/>
      </c>
      <c r="D32" s="16">
        <f>D21/D10</f>
        <v/>
      </c>
      <c r="E32" s="16">
        <f>E21/E10</f>
        <v/>
      </c>
      <c r="F32" s="16">
        <f>F21/F10</f>
        <v/>
      </c>
      <c r="G32" s="16">
        <f>G21/G10</f>
        <v/>
      </c>
    </row>
    <row r="33">
      <c r="A33" s="23" t="inlineStr">
        <is>
          <t>PAT margin (% of total income)</t>
        </is>
      </c>
      <c r="B33" s="16">
        <f>B28/B10</f>
        <v/>
      </c>
      <c r="C33" s="16">
        <f>C28/C10</f>
        <v/>
      </c>
      <c r="D33" s="16">
        <f>D28/D10</f>
        <v/>
      </c>
      <c r="E33" s="16">
        <f>E28/E10</f>
        <v/>
      </c>
      <c r="F33" s="16">
        <f>F28/F10</f>
        <v/>
      </c>
      <c r="G33" s="16">
        <f>G28/G10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D7D31"/>
    <outlinePr summaryBelow="1" summaryRight="1"/>
    <pageSetUpPr/>
  </sheetPr>
  <dimension ref="A1:H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0" customWidth="1" min="8" max="8"/>
  </cols>
  <sheetData>
    <row r="1" ht="24" customHeight="1">
      <c r="A1" s="1" t="inlineStr">
        <is>
          <t>BSE Ltd — Consolidated Balance Sheet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FY24-FY26 actuals (blue). FY27E-FY29E projected. Retained earnings link (green) to Income Statement PAT &amp; dividend. Capex/D&amp;A schedule drives net block.</t>
        </is>
      </c>
    </row>
    <row r="3">
      <c r="A3" s="4" t="inlineStr">
        <is>
          <t>Units: Rs Crore. Consolidated basis. Balance check row must equal 0.</t>
        </is>
      </c>
    </row>
    <row r="4">
      <c r="B4" s="5" t="inlineStr">
        <is>
          <t>Actual</t>
        </is>
      </c>
      <c r="E4" s="6" t="inlineStr">
        <is>
          <t>Projected</t>
        </is>
      </c>
    </row>
    <row r="5">
      <c r="A5" s="7" t="inlineStr">
        <is>
          <t>Rs Crore</t>
        </is>
      </c>
      <c r="B5" s="8" t="inlineStr">
        <is>
          <t>FY24</t>
        </is>
      </c>
      <c r="C5" s="8" t="inlineStr">
        <is>
          <t>FY25</t>
        </is>
      </c>
      <c r="D5" s="8" t="inlineStr">
        <is>
          <t>FY26</t>
        </is>
      </c>
      <c r="E5" s="9" t="inlineStr">
        <is>
          <t>FY27E</t>
        </is>
      </c>
      <c r="F5" s="9" t="inlineStr">
        <is>
          <t>FY28E</t>
        </is>
      </c>
      <c r="G5" s="9" t="inlineStr">
        <is>
          <t>FY29E</t>
        </is>
      </c>
      <c r="H5" s="7" t="inlineStr">
        <is>
          <t>Source / formula basis</t>
        </is>
      </c>
    </row>
    <row r="6">
      <c r="A6" s="10" t="inlineStr">
        <is>
          <t>CAPEX &amp; DEPRECIATION SCHEDULE</t>
        </is>
      </c>
      <c r="B6" s="11" t="n"/>
      <c r="C6" s="11" t="n"/>
      <c r="D6" s="11" t="n"/>
      <c r="E6" s="11" t="n"/>
      <c r="F6" s="11" t="n"/>
      <c r="G6" s="11" t="n"/>
      <c r="H6" s="11" t="n"/>
    </row>
    <row r="7">
      <c r="A7" s="23" t="inlineStr">
        <is>
          <t>Net block — opening</t>
        </is>
      </c>
      <c r="E7" s="24">
        <f>D10</f>
        <v/>
      </c>
      <c r="F7" s="24">
        <f>E10</f>
        <v/>
      </c>
      <c r="G7" s="24">
        <f>F10</f>
        <v/>
      </c>
    </row>
    <row r="8">
      <c r="A8" s="19" t="inlineStr">
        <is>
          <t>Capex</t>
        </is>
      </c>
      <c r="B8" s="17" t="n">
        <v>131.32</v>
      </c>
      <c r="C8" s="17" t="n">
        <v>153.23</v>
      </c>
      <c r="D8" s="17" t="n">
        <v>515.16</v>
      </c>
      <c r="E8" s="20">
        <f>'Income Statement'!E7*Assumptions!$E$33</f>
        <v/>
      </c>
      <c r="F8" s="20">
        <f>'Income Statement'!F7*Assumptions!$F$33</f>
        <v/>
      </c>
      <c r="G8" s="20">
        <f>'Income Statement'!G7*Assumptions!$G$33</f>
        <v/>
      </c>
      <c r="H8" s="13" t="inlineStr">
        <is>
          <t>Projected = revenue x capex% (Assumptions). Hist = cash-flow capex.</t>
        </is>
      </c>
    </row>
    <row r="9">
      <c r="A9" s="19" t="inlineStr">
        <is>
          <t>Depreciation &amp; amortisation</t>
        </is>
      </c>
      <c r="B9" s="17" t="n">
        <v>95.44</v>
      </c>
      <c r="C9" s="17" t="n">
        <v>112.98</v>
      </c>
      <c r="D9" s="17" t="n">
        <v>158.96</v>
      </c>
      <c r="E9" s="20">
        <f>E7*Assumptions!$E$34</f>
        <v/>
      </c>
      <c r="F9" s="20">
        <f>F7*Assumptions!$F$34</f>
        <v/>
      </c>
      <c r="G9" s="20">
        <f>G7*Assumptions!$G$34</f>
        <v/>
      </c>
      <c r="H9" s="13" t="inlineStr">
        <is>
          <t>Projected = opening net block x D&amp;A% (Assumptions).</t>
        </is>
      </c>
    </row>
    <row r="10">
      <c r="A10" s="25" t="inlineStr">
        <is>
          <t>Net block — closing (PPE + CWIP)</t>
        </is>
      </c>
      <c r="B10" s="26" t="n">
        <v>209.54</v>
      </c>
      <c r="C10" s="26" t="n">
        <v>262.9</v>
      </c>
      <c r="D10" s="26" t="n">
        <v>595.14</v>
      </c>
      <c r="E10" s="21">
        <f>E7+E8-E9</f>
        <v/>
      </c>
      <c r="F10" s="21">
        <f>F7+F8-F9</f>
        <v/>
      </c>
      <c r="G10" s="21">
        <f>G7+G8-G9</f>
        <v/>
      </c>
      <c r="H10" s="13" t="inlineStr">
        <is>
          <t>Opening + capex - D&amp;A. Hist = PPE + CWIP actual.</t>
        </is>
      </c>
    </row>
    <row r="11">
      <c r="A11" s="10" t="inlineStr">
        <is>
          <t>ASSETS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>
      <c r="A12" s="19" t="inlineStr">
        <is>
          <t>Other non-current assets</t>
        </is>
      </c>
      <c r="B12" s="17" t="n">
        <v>3270.78</v>
      </c>
      <c r="C12" s="17" t="n">
        <v>2736.09</v>
      </c>
      <c r="D12" s="17" t="n">
        <v>4633.86</v>
      </c>
      <c r="E12" s="20">
        <f>D12*(1+Assumptions!$E$24)</f>
        <v/>
      </c>
      <c r="F12" s="20">
        <f>E12*(1+Assumptions!$F$24)</f>
        <v/>
      </c>
      <c r="G12" s="20">
        <f>F12*(1+Assumptions!$G$24)</f>
        <v/>
      </c>
      <c r="H12" s="13" t="inlineStr">
        <is>
          <t>Investments/other NCA grown at corpus growth.</t>
        </is>
      </c>
    </row>
    <row r="13">
      <c r="A13" s="7" t="inlineStr">
        <is>
          <t>Total non-current assets</t>
        </is>
      </c>
      <c r="B13" s="21">
        <f>B10+B12</f>
        <v/>
      </c>
      <c r="C13" s="21">
        <f>C10+C12</f>
        <v/>
      </c>
      <c r="D13" s="21">
        <f>D10+D12</f>
        <v/>
      </c>
      <c r="E13" s="21">
        <f>E10+E12</f>
        <v/>
      </c>
      <c r="F13" s="21">
        <f>F10+F12</f>
        <v/>
      </c>
      <c r="G13" s="21">
        <f>G10+G12</f>
        <v/>
      </c>
    </row>
    <row r="14">
      <c r="A14" s="19" t="inlineStr">
        <is>
          <t>Trade receivables</t>
        </is>
      </c>
      <c r="B14" s="17" t="n">
        <v>210.87</v>
      </c>
      <c r="C14" s="17" t="n">
        <v>309.67</v>
      </c>
      <c r="D14" s="17" t="n">
        <v>553.16</v>
      </c>
      <c r="E14" s="20">
        <f>'Income Statement'!E7*Assumptions!$E$35/365</f>
        <v/>
      </c>
      <c r="F14" s="20">
        <f>'Income Statement'!F7*Assumptions!$F$35/365</f>
        <v/>
      </c>
      <c r="G14" s="20">
        <f>'Income Statement'!G7*Assumptions!$G$35/365</f>
        <v/>
      </c>
      <c r="H14" s="13" t="inlineStr">
        <is>
          <t>Projected = revenue x receivable days / 365.</t>
        </is>
      </c>
    </row>
    <row r="15">
      <c r="A15" s="19" t="inlineStr">
        <is>
          <t>Other current assets (ex-cash)</t>
        </is>
      </c>
      <c r="B15" s="17" t="n">
        <v>3684.52</v>
      </c>
      <c r="C15" s="17" t="n">
        <v>5508.83</v>
      </c>
      <c r="D15" s="17" t="n">
        <v>6017.56</v>
      </c>
      <c r="E15" s="20">
        <f>D15*(1+Assumptions!$E$24)</f>
        <v/>
      </c>
      <c r="F15" s="20">
        <f>E15*(1+Assumptions!$F$24)</f>
        <v/>
      </c>
      <c r="G15" s="20">
        <f>F15*(1+Assumptions!$G$24)</f>
        <v/>
      </c>
      <c r="H15" s="13" t="inlineStr">
        <is>
          <t>Other current assets grown at corpus growth.</t>
        </is>
      </c>
    </row>
    <row r="16">
      <c r="A16" s="19" t="inlineStr">
        <is>
          <t>Cash &amp; investments (balancing)</t>
        </is>
      </c>
      <c r="B16" s="17" t="n">
        <v>2074.52</v>
      </c>
      <c r="C16" s="17" t="n">
        <v>1524.16</v>
      </c>
      <c r="D16" s="17" t="n">
        <v>1646.42</v>
      </c>
      <c r="E16" s="24">
        <f>E23-E13-E14-E15</f>
        <v/>
      </c>
      <c r="F16" s="24">
        <f>F23-F13-F14-F15</f>
        <v/>
      </c>
      <c r="G16" s="24">
        <f>G23-G13-G14-G15</f>
        <v/>
      </c>
      <c r="H16" s="13" t="inlineStr">
        <is>
          <t>Projected = balancing plug: total E&amp;L - non-cash assets (guarantees BS balances).</t>
        </is>
      </c>
    </row>
    <row r="17">
      <c r="A17" s="7" t="inlineStr">
        <is>
          <t>Total current assets</t>
        </is>
      </c>
      <c r="B17" s="21">
        <f>B14+B15+B16</f>
        <v/>
      </c>
      <c r="C17" s="21">
        <f>C14+C15+C16</f>
        <v/>
      </c>
      <c r="D17" s="21">
        <f>D14+D15+D16</f>
        <v/>
      </c>
      <c r="E17" s="21">
        <f>E14+E15+E16</f>
        <v/>
      </c>
      <c r="F17" s="21">
        <f>F14+F15+F16</f>
        <v/>
      </c>
      <c r="G17" s="21">
        <f>G14+G15+G16</f>
        <v/>
      </c>
    </row>
    <row r="18">
      <c r="A18" s="7" t="inlineStr">
        <is>
          <t>TOTAL ASSETS</t>
        </is>
      </c>
      <c r="B18" s="21">
        <f>B13+B17</f>
        <v/>
      </c>
      <c r="C18" s="21">
        <f>C13+C17</f>
        <v/>
      </c>
      <c r="D18" s="21">
        <f>D13+D17</f>
        <v/>
      </c>
      <c r="E18" s="21">
        <f>E13+E17</f>
        <v/>
      </c>
      <c r="F18" s="21">
        <f>F13+F17</f>
        <v/>
      </c>
      <c r="G18" s="21">
        <f>G13+G17</f>
        <v/>
      </c>
    </row>
    <row r="19">
      <c r="A19" s="10" t="inlineStr">
        <is>
          <t>EQUITY &amp; LIABILITIES</t>
        </is>
      </c>
      <c r="B19" s="11" t="n"/>
      <c r="C19" s="11" t="n"/>
      <c r="D19" s="11" t="n"/>
      <c r="E19" s="11" t="n"/>
      <c r="F19" s="11" t="n"/>
      <c r="G19" s="11" t="n"/>
      <c r="H19" s="11" t="n"/>
    </row>
    <row r="20">
      <c r="A20" s="7" t="inlineStr">
        <is>
          <t>Total equity</t>
        </is>
      </c>
      <c r="B20" s="26" t="n">
        <v>3454.66</v>
      </c>
      <c r="C20" s="26" t="n">
        <v>4575.7</v>
      </c>
      <c r="D20" s="26" t="n">
        <v>6795.5</v>
      </c>
      <c r="E20" s="18">
        <f>D20+'Income Statement'!E28-'Income Statement'!E30</f>
        <v/>
      </c>
      <c r="F20" s="18">
        <f>E20+'Income Statement'!F28-'Income Statement'!F30</f>
        <v/>
      </c>
      <c r="G20" s="18">
        <f>F20+'Income Statement'!G28-'Income Statement'!G30</f>
        <v/>
      </c>
      <c r="H20" s="13" t="inlineStr">
        <is>
          <t>Prior equity + PAT - dividend (retained earnings roll-forward). Link to IS.</t>
        </is>
      </c>
    </row>
    <row r="21">
      <c r="A21" s="19" t="inlineStr">
        <is>
          <t>Non-current liabilities</t>
        </is>
      </c>
      <c r="B21" s="17" t="n">
        <v>13.63</v>
      </c>
      <c r="C21" s="17" t="n">
        <v>18.72</v>
      </c>
      <c r="D21" s="17" t="n">
        <v>33.32</v>
      </c>
      <c r="E21" s="20">
        <f>D21*(1+Assumptions!$E$30)</f>
        <v/>
      </c>
      <c r="F21" s="20">
        <f>E21*(1+Assumptions!$F$30)</f>
        <v/>
      </c>
      <c r="G21" s="20">
        <f>F21*(1+Assumptions!$G$30)</f>
        <v/>
      </c>
      <c r="H21" s="13" t="inlineStr">
        <is>
          <t>Small; grown at admin growth.</t>
        </is>
      </c>
    </row>
    <row r="22">
      <c r="A22" s="19" t="inlineStr">
        <is>
          <t>Current liabilities</t>
        </is>
      </c>
      <c r="B22" s="17" t="n">
        <v>5981.94</v>
      </c>
      <c r="C22" s="17" t="n">
        <v>5747.23</v>
      </c>
      <c r="D22" s="17" t="n">
        <v>6617.32</v>
      </c>
      <c r="E22" s="20">
        <f>'Income Statement'!E7*Assumptions!$E$36</f>
        <v/>
      </c>
      <c r="F22" s="20">
        <f>'Income Statement'!F7*Assumptions!$F$36</f>
        <v/>
      </c>
      <c r="G22" s="20">
        <f>'Income Statement'!G7*Assumptions!$G$36</f>
        <v/>
      </c>
      <c r="H22" s="13" t="inlineStr">
        <is>
          <t>Projected = revenue x current-liab% (Assumptions). Incl clearing/settlement float.</t>
        </is>
      </c>
    </row>
    <row r="23">
      <c r="A23" s="7" t="inlineStr">
        <is>
          <t>TOTAL EQUITY &amp; LIABILITIES</t>
        </is>
      </c>
      <c r="B23" s="21">
        <f>B20+B21+B22</f>
        <v/>
      </c>
      <c r="C23" s="21">
        <f>C20+C21+C22</f>
        <v/>
      </c>
      <c r="D23" s="21">
        <f>D20+D21+D22</f>
        <v/>
      </c>
      <c r="E23" s="21">
        <f>E20+E21+E22</f>
        <v/>
      </c>
      <c r="F23" s="21">
        <f>F20+F21+F22</f>
        <v/>
      </c>
      <c r="G23" s="21">
        <f>G20+G21+G22</f>
        <v/>
      </c>
    </row>
    <row r="24">
      <c r="A24" s="7" t="inlineStr">
        <is>
          <t>Balance check (Assets - E&amp;L)</t>
        </is>
      </c>
      <c r="B24" s="21">
        <f>B18-B23</f>
        <v/>
      </c>
      <c r="C24" s="21">
        <f>C18-C23</f>
        <v/>
      </c>
      <c r="D24" s="21">
        <f>D18-D23</f>
        <v/>
      </c>
      <c r="E24" s="21">
        <f>E18-E23</f>
        <v/>
      </c>
      <c r="F24" s="21">
        <f>F18-F23</f>
        <v/>
      </c>
      <c r="G24" s="21">
        <f>G18-G23</f>
        <v/>
      </c>
      <c r="H24" s="13" t="inlineStr">
        <is>
          <t>Must be ~0 for projected years (plug via cash). Hist may differ (actuals).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H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0" customWidth="1" min="8" max="8"/>
  </cols>
  <sheetData>
    <row r="1" ht="24" customHeight="1">
      <c r="A1" s="1" t="inlineStr">
        <is>
          <t>BSE Ltd — Segment Revenue Build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Revenue disaggregated by segment. Historical = STANDALONE MD&amp;A split (the only disclosed granularity), flagged. Projected = driver formulas referencing Assumptions.</t>
        </is>
      </c>
    </row>
    <row r="3">
      <c r="A3" s="4" t="inlineStr">
        <is>
          <t>Units: Rs Crore. Transaction charges = ADTO x trading days x yield(bps)/10000. Historical actuals in blue.</t>
        </is>
      </c>
    </row>
    <row r="4">
      <c r="B4" s="5" t="inlineStr">
        <is>
          <t>Actual</t>
        </is>
      </c>
      <c r="E4" s="6" t="inlineStr">
        <is>
          <t>Projected</t>
        </is>
      </c>
    </row>
    <row r="5">
      <c r="A5" s="7" t="inlineStr">
        <is>
          <t>Rs Crore</t>
        </is>
      </c>
      <c r="B5" s="8" t="inlineStr">
        <is>
          <t>FY24</t>
        </is>
      </c>
      <c r="C5" s="8" t="inlineStr">
        <is>
          <t>FY25</t>
        </is>
      </c>
      <c r="D5" s="8" t="inlineStr">
        <is>
          <t>FY26</t>
        </is>
      </c>
      <c r="E5" s="9" t="inlineStr">
        <is>
          <t>FY27E</t>
        </is>
      </c>
      <c r="F5" s="9" t="inlineStr">
        <is>
          <t>FY28E</t>
        </is>
      </c>
      <c r="G5" s="9" t="inlineStr">
        <is>
          <t>FY29E</t>
        </is>
      </c>
      <c r="H5" s="7" t="inlineStr">
        <is>
          <t>Source / formula basis</t>
        </is>
      </c>
    </row>
    <row r="6">
      <c r="A6" s="10" t="inlineStr">
        <is>
          <t>TRANSACTION CHARGES</t>
        </is>
      </c>
      <c r="B6" s="11" t="n"/>
      <c r="C6" s="11" t="n"/>
      <c r="D6" s="11" t="n"/>
      <c r="E6" s="11" t="n"/>
      <c r="F6" s="11" t="n"/>
      <c r="G6" s="11" t="n"/>
      <c r="H6" s="11" t="n"/>
    </row>
    <row r="7">
      <c r="A7" s="19" t="inlineStr">
        <is>
          <t>Equity derivatives txn charges</t>
        </is>
      </c>
      <c r="C7" s="17" t="n">
        <v>1415.54</v>
      </c>
      <c r="D7" s="17" t="n">
        <v>3134.37</v>
      </c>
      <c r="E7" s="20">
        <f>Assumptions!$E$7*Assumptions!$E$15*Assumptions!$E$13</f>
        <v/>
      </c>
      <c r="F7" s="20">
        <f>Assumptions!$F$7*Assumptions!$F$15*Assumptions!$F$13</f>
        <v/>
      </c>
      <c r="G7" s="20">
        <f>Assumptions!$G$7*Assumptions!$G$15*Assumptions!$G$13</f>
        <v/>
      </c>
      <c r="H7" s="13" t="inlineStr">
        <is>
          <t xml:space="preserve"> = deriv ADTO x days x yield(bps)/10000. ADTO &amp; yield from Assumptions.</t>
        </is>
      </c>
    </row>
    <row r="8">
      <c r="A8" s="19" t="inlineStr">
        <is>
          <t>Equity cash txn charges</t>
        </is>
      </c>
      <c r="C8" s="17" t="n">
        <v>303.56</v>
      </c>
      <c r="D8" s="17" t="n">
        <v>250.21</v>
      </c>
      <c r="E8" s="20">
        <f>Assumptions!$E$9*Assumptions!$E$15*Assumptions!$E$14</f>
        <v/>
      </c>
      <c r="F8" s="20">
        <f>Assumptions!$F$9*Assumptions!$F$15*Assumptions!$F$14</f>
        <v/>
      </c>
      <c r="G8" s="20">
        <f>Assumptions!$G$9*Assumptions!$G$15*Assumptions!$G$14</f>
        <v/>
      </c>
      <c r="H8" s="13" t="inlineStr">
        <is>
          <t xml:space="preserve"> = cash ADTO x days x yield(bps)/10000.</t>
        </is>
      </c>
    </row>
    <row r="9">
      <c r="A9" s="19" t="inlineStr">
        <is>
          <t>Currency derivatives txn charges</t>
        </is>
      </c>
      <c r="B9" s="17" t="n">
        <v>0</v>
      </c>
      <c r="C9" s="17" t="n">
        <v>0</v>
      </c>
      <c r="D9" s="17" t="n">
        <v>0</v>
      </c>
      <c r="E9" s="20">
        <f>Assumptions!$E$52</f>
        <v/>
      </c>
      <c r="F9" s="20">
        <f>Assumptions!$F$52</f>
        <v/>
      </c>
      <c r="G9" s="20">
        <f>Assumptions!$G$52</f>
        <v/>
      </c>
      <c r="H9" s="13" t="inlineStr">
        <is>
          <t>NOT-DISCLOSED in MD&amp;A split -&gt; AR audited Note 22. References Assumptions (default 0).</t>
        </is>
      </c>
    </row>
    <row r="10">
      <c r="A10" s="19" t="inlineStr">
        <is>
          <t>SLB (securities lending) txn charges</t>
        </is>
      </c>
      <c r="B10" s="17" t="n">
        <v>0</v>
      </c>
      <c r="C10" s="17" t="n">
        <v>0</v>
      </c>
      <c r="D10" s="17" t="n">
        <v>0</v>
      </c>
      <c r="E10" s="20">
        <f>Assumptions!$E$53</f>
        <v/>
      </c>
      <c r="F10" s="20">
        <f>Assumptions!$F$53</f>
        <v/>
      </c>
      <c r="G10" s="20">
        <f>Assumptions!$G$53</f>
        <v/>
      </c>
      <c r="H10" s="13" t="inlineStr">
        <is>
          <t>NOT-DISCLOSED separately -&gt; AR audited Note 22. References Assumptions (default 0).</t>
        </is>
      </c>
    </row>
    <row r="11">
      <c r="A11" s="19" t="inlineStr">
        <is>
          <t>StAR MF platform fees</t>
        </is>
      </c>
      <c r="C11" s="17" t="n">
        <v>230.77</v>
      </c>
      <c r="D11" s="17" t="n">
        <v>284.9</v>
      </c>
      <c r="E11" s="20">
        <f>D11*(1+Assumptions!$E$17)</f>
        <v/>
      </c>
      <c r="F11" s="20">
        <f>E11*(1+Assumptions!$F$17)</f>
        <v/>
      </c>
      <c r="G11" s="20">
        <f>F11*(1+Assumptions!$G$17)</f>
        <v/>
      </c>
      <c r="H11" s="13" t="inlineStr">
        <is>
          <t xml:space="preserve"> = prior x (1 + StAR MF growth). MF platform, part of txn charges line.</t>
        </is>
      </c>
    </row>
    <row r="12">
      <c r="A12" s="7" t="inlineStr">
        <is>
          <t>Transaction charges — total</t>
        </is>
      </c>
      <c r="C12" s="21">
        <f>C7+C8+C9+C10+C11</f>
        <v/>
      </c>
      <c r="D12" s="21">
        <f>D7+D8+D9+D10+D11</f>
        <v/>
      </c>
      <c r="E12" s="21">
        <f>E7+E8+E9+E10+E11</f>
        <v/>
      </c>
      <c r="F12" s="21">
        <f>F7+F8+F9+F10+F11</f>
        <v/>
      </c>
      <c r="G12" s="21">
        <f>G7+G8+G9+G10+G11</f>
        <v/>
      </c>
      <c r="H12" s="13" t="inlineStr">
        <is>
          <t>Sum of components (same-sheet).</t>
        </is>
      </c>
    </row>
    <row r="13">
      <c r="A13" s="10" t="inlineStr">
        <is>
          <t>NON-TRANSACTION REVENUE</t>
        </is>
      </c>
      <c r="B13" s="11" t="n"/>
      <c r="C13" s="11" t="n"/>
      <c r="D13" s="11" t="n"/>
      <c r="E13" s="11" t="n"/>
      <c r="F13" s="11" t="n"/>
      <c r="G13" s="11" t="n"/>
      <c r="H13" s="11" t="n"/>
    </row>
    <row r="14">
      <c r="A14" s="19" t="inlineStr">
        <is>
          <t>Listing fees (annual + processing)</t>
        </is>
      </c>
      <c r="C14" s="17" t="n">
        <v>353.28</v>
      </c>
      <c r="D14" s="17" t="n">
        <v>388.61</v>
      </c>
      <c r="E14" s="20">
        <f>D14*(1+Assumptions!$E$18)</f>
        <v/>
      </c>
      <c r="F14" s="20">
        <f>E14*(1+Assumptions!$F$18)</f>
        <v/>
      </c>
      <c r="G14" s="20">
        <f>F14*(1+Assumptions!$G$18)</f>
        <v/>
      </c>
      <c r="H14" s="13" t="inlineStr">
        <is>
          <t xml:space="preserve"> = prior x (1 + listing growth). Linked to IPO/listings pipeline.</t>
        </is>
      </c>
    </row>
    <row r="15">
      <c r="A15" s="19" t="inlineStr">
        <is>
          <t>Book building / IPO fees</t>
        </is>
      </c>
      <c r="C15" s="17" t="n">
        <v>95.36</v>
      </c>
      <c r="D15" s="17" t="n">
        <v>104.12</v>
      </c>
      <c r="E15" s="20">
        <f>D15*(1+Assumptions!$E$19)</f>
        <v/>
      </c>
      <c r="F15" s="20">
        <f>E15*(1+Assumptions!$F$19)</f>
        <v/>
      </c>
      <c r="G15" s="20">
        <f>F15*(1+Assumptions!$G$19)</f>
        <v/>
      </c>
      <c r="H15" s="13" t="inlineStr">
        <is>
          <t xml:space="preserve"> = prior x (1 + book-building growth).</t>
        </is>
      </c>
    </row>
    <row r="16">
      <c r="A16" s="19" t="inlineStr">
        <is>
          <t>Data feed &amp; index licensing income</t>
        </is>
      </c>
      <c r="C16" s="17" t="n">
        <v>72.62</v>
      </c>
      <c r="D16" s="17" t="n">
        <v>168.99</v>
      </c>
      <c r="E16" s="20">
        <f>D16*(1+Assumptions!$E$20)</f>
        <v/>
      </c>
      <c r="F16" s="20">
        <f>E16*(1+Assumptions!$F$20)</f>
        <v/>
      </c>
      <c r="G16" s="20">
        <f>F16*(1+Assumptions!$G$20)</f>
        <v/>
      </c>
      <c r="H16" s="13" t="inlineStr">
        <is>
          <t>Asia Index/S&amp;P BSE + colocation/data feed. = prior x (1 + data growth).</t>
        </is>
      </c>
    </row>
    <row r="17">
      <c r="A17" s="19" t="inlineStr">
        <is>
          <t>Other operating income (residual)</t>
        </is>
      </c>
      <c r="C17" s="17" t="n">
        <v>95.44</v>
      </c>
      <c r="D17" s="17" t="n">
        <v>112.11</v>
      </c>
      <c r="E17" s="20">
        <f>D17*(1+Assumptions!$E$21)</f>
        <v/>
      </c>
      <c r="F17" s="20">
        <f>E17*(1+Assumptions!$F$21)</f>
        <v/>
      </c>
      <c r="G17" s="20">
        <f>F17*(1+Assumptions!$G$21)</f>
        <v/>
      </c>
      <c r="H17" s="13" t="inlineStr">
        <is>
          <t>Other operating income less colocation (moved to data line).</t>
        </is>
      </c>
    </row>
    <row r="18">
      <c r="A18" s="10" t="inlineStr">
        <is>
          <t>REVENUE FROM OPERATIONS (recomputed)</t>
        </is>
      </c>
      <c r="B18" s="11" t="n"/>
      <c r="C18" s="11" t="n"/>
      <c r="D18" s="11" t="n"/>
      <c r="E18" s="11" t="n"/>
      <c r="F18" s="11" t="n"/>
      <c r="G18" s="11" t="n"/>
      <c r="H18" s="11" t="n"/>
    </row>
    <row r="19">
      <c r="A19" s="7" t="inlineStr">
        <is>
          <t>Revenue from operations (build)</t>
        </is>
      </c>
      <c r="B19" s="21">
        <f>B12+B14+B15+B16+B17</f>
        <v/>
      </c>
      <c r="C19" s="21">
        <f>C12+C14+C15+C16+C17</f>
        <v/>
      </c>
      <c r="D19" s="21">
        <f>D12+D14+D15+D16+D17</f>
        <v/>
      </c>
      <c r="E19" s="21">
        <f>E12+E14+E15+E16+E17</f>
        <v/>
      </c>
      <c r="F19" s="21">
        <f>F12+F14+F15+F16+F17</f>
        <v/>
      </c>
      <c r="G19" s="21">
        <f>G12+G14+G15+G16+G17</f>
        <v/>
      </c>
      <c r="H19" s="13" t="inlineStr">
        <is>
          <t>Sum of all segment lines (same-sheet). Feeds Income Statement.</t>
        </is>
      </c>
    </row>
    <row r="20">
      <c r="A20" s="10" t="inlineStr">
        <is>
          <t>INVESTMENT / TREASURY INCOME</t>
        </is>
      </c>
      <c r="B20" s="11" t="n"/>
      <c r="C20" s="11" t="n"/>
      <c r="D20" s="11" t="n"/>
      <c r="E20" s="11" t="n"/>
      <c r="F20" s="11" t="n"/>
      <c r="G20" s="11" t="n"/>
      <c r="H20" s="11" t="n"/>
    </row>
    <row r="21">
      <c r="A21" s="7" t="inlineStr">
        <is>
          <t>Investment / treasury income</t>
        </is>
      </c>
      <c r="B21" s="17" t="n">
        <v>202.47</v>
      </c>
      <c r="C21" s="17" t="n">
        <v>254.7</v>
      </c>
      <c r="D21" s="17" t="n">
        <v>290.3</v>
      </c>
      <c r="E21" s="20">
        <f>Assumptions!$E$23*Assumptions!$E$25</f>
        <v/>
      </c>
      <c r="F21" s="20">
        <f>Assumptions!$F$23*Assumptions!$F$25</f>
        <v/>
      </c>
      <c r="G21" s="20">
        <f>Assumptions!$G$23*Assumptions!$G$25</f>
        <v/>
      </c>
      <c r="H21" s="13" t="inlineStr">
        <is>
          <t xml:space="preserve"> = investable corpus (incl SGF) x investment yield. From Assumptions.</t>
        </is>
      </c>
    </row>
    <row r="22">
      <c r="A22" s="23" t="inlineStr">
        <is>
          <t>Consolidation scalar (consol/standalone)</t>
        </is>
      </c>
      <c r="C22" s="27">
        <f>2957.34/C19</f>
        <v/>
      </c>
      <c r="D22" s="27">
        <f>4833.95/D19</f>
        <v/>
      </c>
      <c r="E22" s="27">
        <f>$D$22</f>
        <v/>
      </c>
      <c r="F22" s="27">
        <f>$D$22</f>
        <v/>
      </c>
      <c r="G22" s="27">
        <f>$D$22</f>
        <v/>
      </c>
      <c r="H22" s="13" t="inlineStr">
        <is>
          <t>Consol rev / standalone-build rev. FY24 build undisclosed so scalar blank.</t>
        </is>
      </c>
    </row>
    <row r="23">
      <c r="A23" s="7" t="inlineStr">
        <is>
          <t>Revenue from operations (consolidated)</t>
        </is>
      </c>
      <c r="B23" s="26" t="n">
        <v>1390.03</v>
      </c>
      <c r="C23" s="21">
        <f>C19*C22</f>
        <v/>
      </c>
      <c r="D23" s="21">
        <f>D19*D22</f>
        <v/>
      </c>
      <c r="E23" s="21">
        <f>E19*E22</f>
        <v/>
      </c>
      <c r="F23" s="21">
        <f>F19*F22</f>
        <v/>
      </c>
      <c r="G23" s="21">
        <f>G19*G22</f>
        <v/>
      </c>
      <c r="H23" s="13" t="inlineStr">
        <is>
          <t>FY24 = direct consolidated actual (no split disclosed). FY25-FY29 = build x consolidation scalar. Feeds Income Statement.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H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0" customWidth="1" min="8" max="8"/>
  </cols>
  <sheetData>
    <row r="1" ht="24" customHeight="1">
      <c r="A1" s="1" t="inlineStr">
        <is>
          <t>BSE Ltd — DCF Valuation (FCFF)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FCFF discounted at WACC (CAPM cost of equity + after-tax cost of debt). Terminal value via Gordon growth. All lines are formula chains referencing Assumptions and the Income Statement / Balance Sheet.</t>
        </is>
      </c>
    </row>
    <row r="3">
      <c r="A3" s="4" t="inlineStr">
        <is>
          <t>Units: Rs Crore unless marked. BSE is a fee-income business (not a bank) so FCFF DCF applies.</t>
        </is>
      </c>
    </row>
    <row r="5">
      <c r="A5" s="10" t="inlineStr">
        <is>
          <t>WACC BUILD-UP (CAPM)</t>
        </is>
      </c>
      <c r="B5" s="11" t="n"/>
      <c r="C5" s="11" t="n"/>
      <c r="D5" s="11" t="n"/>
      <c r="E5" s="11" t="n"/>
      <c r="F5" s="11" t="n"/>
      <c r="G5" s="11" t="n"/>
      <c r="H5" s="11" t="n"/>
    </row>
    <row r="6">
      <c r="A6" s="19" t="inlineStr">
        <is>
          <t>Risk-free rate</t>
        </is>
      </c>
      <c r="E6" s="28">
        <f>Assumptions!$E$40</f>
        <v/>
      </c>
      <c r="H6" s="13" t="inlineStr">
        <is>
          <t>From Assumptions (green).</t>
        </is>
      </c>
    </row>
    <row r="7">
      <c r="A7" s="19" t="inlineStr">
        <is>
          <t>Equity risk premium</t>
        </is>
      </c>
      <c r="E7" s="28">
        <f>Assumptions!$E$41</f>
        <v/>
      </c>
      <c r="H7" s="13" t="inlineStr">
        <is>
          <t>From Assumptions.</t>
        </is>
      </c>
    </row>
    <row r="8">
      <c r="A8" s="19" t="inlineStr">
        <is>
          <t>Beta (levered)</t>
        </is>
      </c>
      <c r="E8" s="22">
        <f>Assumptions!$E$42</f>
        <v/>
      </c>
      <c r="H8" s="13" t="inlineStr">
        <is>
          <t>From Assumptions.</t>
        </is>
      </c>
    </row>
    <row r="9">
      <c r="A9" s="19" t="inlineStr">
        <is>
          <t>Cost of equity (CAPM)</t>
        </is>
      </c>
      <c r="E9" s="16">
        <f>E6+E8*E7</f>
        <v/>
      </c>
      <c r="H9" s="13" t="inlineStr">
        <is>
          <t xml:space="preserve"> = Rf + beta x ERP (same-sheet).</t>
        </is>
      </c>
    </row>
    <row r="10">
      <c r="A10" s="19" t="inlineStr">
        <is>
          <t>Pre-tax cost of debt</t>
        </is>
      </c>
      <c r="E10" s="28">
        <f>Assumptions!$E$43</f>
        <v/>
      </c>
      <c r="H10" s="13" t="inlineStr">
        <is>
          <t>From Assumptions.</t>
        </is>
      </c>
    </row>
    <row r="11">
      <c r="A11" s="19" t="inlineStr">
        <is>
          <t>Tax rate</t>
        </is>
      </c>
      <c r="E11" s="28">
        <f>Assumptions!$E$37</f>
        <v/>
      </c>
      <c r="H11" s="13" t="inlineStr">
        <is>
          <t>From Assumptions.</t>
        </is>
      </c>
    </row>
    <row r="12">
      <c r="A12" s="19" t="inlineStr">
        <is>
          <t>After-tax cost of debt</t>
        </is>
      </c>
      <c r="E12" s="16">
        <f>E10*(1-E11)</f>
        <v/>
      </c>
      <c r="H12" s="13" t="inlineStr">
        <is>
          <t xml:space="preserve"> = Kd x (1 - tax).</t>
        </is>
      </c>
    </row>
    <row r="13">
      <c r="A13" s="19" t="inlineStr">
        <is>
          <t>Weight — equity</t>
        </is>
      </c>
      <c r="E13" s="28">
        <f>Assumptions!$E$44</f>
        <v/>
      </c>
      <c r="H13" s="13" t="inlineStr">
        <is>
          <t>From Assumptions.</t>
        </is>
      </c>
    </row>
    <row r="14">
      <c r="A14" s="19" t="inlineStr">
        <is>
          <t>Weight — debt</t>
        </is>
      </c>
      <c r="E14" s="28">
        <f>Assumptions!$E$45</f>
        <v/>
      </c>
      <c r="H14" s="13" t="inlineStr">
        <is>
          <t>From Assumptions.</t>
        </is>
      </c>
    </row>
    <row r="15">
      <c r="A15" s="19" t="inlineStr">
        <is>
          <t>WACC</t>
        </is>
      </c>
      <c r="E15" s="16">
        <f>E13*E9+E14*E12</f>
        <v/>
      </c>
      <c r="H15" s="13" t="inlineStr">
        <is>
          <t xml:space="preserve"> = We x Ke + Wd x Kd(after tax).</t>
        </is>
      </c>
    </row>
    <row r="16">
      <c r="A16" s="19" t="inlineStr">
        <is>
          <t>Terminal growth</t>
        </is>
      </c>
      <c r="E16" s="28">
        <f>Assumptions!$E$46</f>
        <v/>
      </c>
      <c r="H16" s="13" t="inlineStr">
        <is>
          <t>From Assumptions.</t>
        </is>
      </c>
    </row>
    <row r="17">
      <c r="A17" s="10" t="inlineStr">
        <is>
          <t>FREE CASH FLOW TO FIRM (FCFF)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>
      <c r="A18" s="19" t="inlineStr">
        <is>
          <t>EBIT</t>
        </is>
      </c>
      <c r="E18" s="20">
        <f>'Income Statement'!E22</f>
        <v/>
      </c>
      <c r="F18" s="20">
        <f>'Income Statement'!F22</f>
        <v/>
      </c>
      <c r="G18" s="20">
        <f>'Income Statement'!G22</f>
        <v/>
      </c>
      <c r="H18" s="13" t="inlineStr">
        <is>
          <t>Link to Income Statement EBIT.</t>
        </is>
      </c>
    </row>
    <row r="19">
      <c r="A19" s="19" t="inlineStr">
        <is>
          <t>NOPAT = EBIT x (1 - tax)</t>
        </is>
      </c>
      <c r="E19" s="20">
        <f>E18*(1-Assumptions!$E$37)</f>
        <v/>
      </c>
      <c r="F19" s="20">
        <f>F18*(1-Assumptions!$F$37)</f>
        <v/>
      </c>
      <c r="G19" s="20">
        <f>G18*(1-Assumptions!$G$37)</f>
        <v/>
      </c>
      <c r="H19" s="13" t="inlineStr">
        <is>
          <t>EBIT x (1 - tax rate from Assumptions).</t>
        </is>
      </c>
    </row>
    <row r="20">
      <c r="A20" s="19" t="inlineStr">
        <is>
          <t>add: D&amp;A</t>
        </is>
      </c>
      <c r="E20" s="20">
        <f>'Balance Sheet'!E9</f>
        <v/>
      </c>
      <c r="F20" s="20">
        <f>'Balance Sheet'!F9</f>
        <v/>
      </c>
      <c r="G20" s="20">
        <f>'Balance Sheet'!G9</f>
        <v/>
      </c>
      <c r="H20" s="13" t="inlineStr">
        <is>
          <t>Link to Balance Sheet D&amp;A schedule.</t>
        </is>
      </c>
    </row>
    <row r="21">
      <c r="A21" s="19" t="inlineStr">
        <is>
          <t>less: Capex</t>
        </is>
      </c>
      <c r="E21" s="20">
        <f>-'Balance Sheet'!E8</f>
        <v/>
      </c>
      <c r="F21" s="20">
        <f>-'Balance Sheet'!F8</f>
        <v/>
      </c>
      <c r="G21" s="20">
        <f>-'Balance Sheet'!G8</f>
        <v/>
      </c>
      <c r="H21" s="13" t="inlineStr">
        <is>
          <t>Link to Balance Sheet capex (negative).</t>
        </is>
      </c>
    </row>
    <row r="22">
      <c r="A22" s="19" t="inlineStr">
        <is>
          <t>less: Increase in operating working capital</t>
        </is>
      </c>
      <c r="E22" s="20">
        <f>-('Balance Sheet'!E14-'Balance Sheet'!D14)</f>
        <v/>
      </c>
      <c r="F22" s="20">
        <f>-('Balance Sheet'!F14-'Balance Sheet'!E14)</f>
        <v/>
      </c>
      <c r="G22" s="20">
        <f>-('Balance Sheet'!G14-'Balance Sheet'!F14)</f>
        <v/>
      </c>
      <c r="H22" s="13" t="inlineStr">
        <is>
          <t>Negative change in trade receivables (settlement float excluded). Link to BS.</t>
        </is>
      </c>
    </row>
    <row r="23">
      <c r="A23" s="25" t="inlineStr">
        <is>
          <t>FCFF</t>
        </is>
      </c>
      <c r="E23" s="21">
        <f>E19+E20+E21+E22</f>
        <v/>
      </c>
      <c r="F23" s="21">
        <f>F19+F20+F21+F22</f>
        <v/>
      </c>
      <c r="G23" s="21">
        <f>G19+G20+G21+G22</f>
        <v/>
      </c>
      <c r="H23" s="13" t="inlineStr">
        <is>
          <t>NOPAT + D&amp;A - Capex - dNWC.</t>
        </is>
      </c>
    </row>
    <row r="24">
      <c r="A24" s="10" t="inlineStr">
        <is>
          <t>DISCOUNTING</t>
        </is>
      </c>
      <c r="B24" s="11" t="n"/>
      <c r="C24" s="11" t="n"/>
      <c r="D24" s="11" t="n"/>
      <c r="E24" s="11" t="n"/>
      <c r="F24" s="11" t="n"/>
      <c r="G24" s="11" t="n"/>
      <c r="H24" s="11" t="n"/>
    </row>
    <row r="25">
      <c r="A25" s="19" t="inlineStr">
        <is>
          <t>Discount period (years)</t>
        </is>
      </c>
      <c r="E25" s="29">
        <f>1</f>
        <v/>
      </c>
      <c r="F25" s="29">
        <f>2</f>
        <v/>
      </c>
      <c r="G25" s="29">
        <f>3</f>
        <v/>
      </c>
      <c r="H25" s="13" t="inlineStr">
        <is>
          <t>1, 2, 3 ...</t>
        </is>
      </c>
    </row>
    <row r="26">
      <c r="A26" s="19" t="inlineStr">
        <is>
          <t>Discount factor</t>
        </is>
      </c>
      <c r="E26" s="29">
        <f>1/(1+$E$15)^E25</f>
        <v/>
      </c>
      <c r="F26" s="29">
        <f>1/(1+$E$15)^F25</f>
        <v/>
      </c>
      <c r="G26" s="29">
        <f>1/(1+$E$15)^G25</f>
        <v/>
      </c>
      <c r="H26" s="13" t="inlineStr">
        <is>
          <t xml:space="preserve"> = 1 / (1 + WACC)^period.</t>
        </is>
      </c>
    </row>
    <row r="27">
      <c r="A27" s="25" t="inlineStr">
        <is>
          <t>PV of FCFF</t>
        </is>
      </c>
      <c r="E27" s="21">
        <f>E23*E26</f>
        <v/>
      </c>
      <c r="F27" s="21">
        <f>F23*F26</f>
        <v/>
      </c>
      <c r="G27" s="21">
        <f>G23*G26</f>
        <v/>
      </c>
      <c r="H27" s="13" t="inlineStr">
        <is>
          <t>FCFF x discount factor.</t>
        </is>
      </c>
    </row>
    <row r="28">
      <c r="A28" s="10" t="inlineStr">
        <is>
          <t>TERMINAL VALUE &amp; ENTERPRISE VALUE</t>
        </is>
      </c>
      <c r="B28" s="11" t="n"/>
      <c r="C28" s="11" t="n"/>
      <c r="D28" s="11" t="n"/>
      <c r="E28" s="11" t="n"/>
      <c r="F28" s="11" t="n"/>
      <c r="G28" s="11" t="n"/>
      <c r="H28" s="11" t="n"/>
    </row>
    <row r="29">
      <c r="A29" s="19" t="inlineStr">
        <is>
          <t>Terminal value (Gordon)</t>
        </is>
      </c>
      <c r="E29" s="24">
        <f>G23*(1+$E$16)/($E$15-$E$16)</f>
        <v/>
      </c>
      <c r="H29" s="13" t="inlineStr">
        <is>
          <t xml:space="preserve"> = FCFF(final) x (1+g) / (WACC - g).</t>
        </is>
      </c>
    </row>
    <row r="30">
      <c r="A30" s="19" t="inlineStr">
        <is>
          <t>PV of terminal value</t>
        </is>
      </c>
      <c r="E30" s="24">
        <f>E29*G26</f>
        <v/>
      </c>
      <c r="H30" s="13" t="inlineStr">
        <is>
          <t>TV x final-year discount factor.</t>
        </is>
      </c>
    </row>
    <row r="31">
      <c r="A31" s="19" t="inlineStr">
        <is>
          <t>Sum of PV of FCFF (explicit)</t>
        </is>
      </c>
      <c r="E31" s="24">
        <f>SUM(E27:G27)</f>
        <v/>
      </c>
      <c r="H31" s="13" t="inlineStr">
        <is>
          <t>Sum of discounted explicit-period FCFF.</t>
        </is>
      </c>
    </row>
    <row r="32">
      <c r="A32" s="25" t="inlineStr">
        <is>
          <t>Enterprise value</t>
        </is>
      </c>
      <c r="E32" s="21">
        <f>E31+E30</f>
        <v/>
      </c>
      <c r="H32" s="13" t="inlineStr">
        <is>
          <t>PV(explicit FCFF) + PV(terminal value).</t>
        </is>
      </c>
    </row>
    <row r="33">
      <c r="A33" s="19" t="inlineStr">
        <is>
          <t>less: Net debt</t>
        </is>
      </c>
      <c r="E33" s="20">
        <f>Assumptions!$E$50</f>
        <v/>
      </c>
      <c r="H33" s="13" t="inlineStr">
        <is>
          <t>Net debt from Assumptions (negative = net cash).</t>
        </is>
      </c>
    </row>
    <row r="34">
      <c r="A34" s="25" t="inlineStr">
        <is>
          <t>Equity value</t>
        </is>
      </c>
      <c r="E34" s="21">
        <f>E32-E33</f>
        <v/>
      </c>
      <c r="H34" s="13" t="inlineStr">
        <is>
          <t>EV - net debt.</t>
        </is>
      </c>
    </row>
    <row r="35">
      <c r="A35" s="19" t="inlineStr">
        <is>
          <t>Shares outstanding (cr)</t>
        </is>
      </c>
      <c r="E35" s="22">
        <f>Assumptions!$E$49</f>
        <v/>
      </c>
      <c r="H35" s="13" t="inlineStr">
        <is>
          <t>From Assumptions.</t>
        </is>
      </c>
    </row>
    <row r="36">
      <c r="A36" s="25" t="inlineStr">
        <is>
          <t>Implied value per share (Rs)</t>
        </is>
      </c>
      <c r="E36" s="30">
        <f>E34/E35</f>
        <v/>
      </c>
      <c r="H36" s="13" t="inlineStr">
        <is>
          <t>Equity value (Rs cr) / shares (cr) = Rs/share (both in crore units cancel).</t>
        </is>
      </c>
    </row>
    <row r="37">
      <c r="A37" s="19" t="inlineStr">
        <is>
          <t>Current market price (Rs)</t>
        </is>
      </c>
      <c r="E37" s="22">
        <f>Assumptions!$E$48</f>
        <v/>
      </c>
      <c r="H37" s="13" t="inlineStr">
        <is>
          <t>From Assumptions.</t>
        </is>
      </c>
    </row>
    <row r="38">
      <c r="A38" s="25" t="inlineStr">
        <is>
          <t>Implied upside / (downside)</t>
        </is>
      </c>
      <c r="E38" s="31">
        <f>E36/E37-1</f>
        <v/>
      </c>
      <c r="H38" s="13" t="inlineStr">
        <is>
          <t>Value per share / market price - 1.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9" max="9"/>
    <col width="12" customWidth="1" min="10" max="10"/>
  </cols>
  <sheetData>
    <row r="1" ht="24" customHeight="1">
      <c r="A1" s="1" t="inlineStr">
        <is>
          <t>BSE Ltd — Trading Comparables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Peer market data in blue (editable). Multiples and BSE-implied values are formulas. BSE fundamentals link (green) to Income Statement / DCF.</t>
        </is>
      </c>
    </row>
    <row r="3">
      <c r="A3" s="4" t="inlineStr">
        <is>
          <t>Units: Rs Crore for values, Rs for price/share, x for multiples.</t>
        </is>
      </c>
    </row>
    <row r="5">
      <c r="A5" s="32" t="inlineStr">
        <is>
          <t>Company</t>
        </is>
      </c>
      <c r="B5" s="32" t="inlineStr">
        <is>
          <t>Price (Rs)</t>
        </is>
      </c>
      <c r="C5" s="32" t="inlineStr">
        <is>
          <t>Shares (cr)</t>
        </is>
      </c>
      <c r="D5" s="32" t="inlineStr">
        <is>
          <t>Mkt cap</t>
        </is>
      </c>
      <c r="E5" s="32" t="inlineStr">
        <is>
          <t>Net debt</t>
        </is>
      </c>
      <c r="F5" s="32" t="inlineStr">
        <is>
          <t>EV</t>
        </is>
      </c>
      <c r="G5" s="32" t="inlineStr">
        <is>
          <t>PAT</t>
        </is>
      </c>
      <c r="I5" s="33" t="inlineStr">
        <is>
          <t>EBITDA</t>
        </is>
      </c>
      <c r="J5" s="33" t="inlineStr">
        <is>
          <t>Book value</t>
        </is>
      </c>
    </row>
    <row r="6">
      <c r="A6" s="7" t="inlineStr">
        <is>
          <t>MCX</t>
        </is>
      </c>
      <c r="B6" s="15" t="n">
        <v>6500</v>
      </c>
      <c r="C6" s="15" t="n">
        <v>5.1</v>
      </c>
      <c r="D6" s="24">
        <f>B6*C6</f>
        <v/>
      </c>
      <c r="E6" s="17" t="n">
        <v>-900</v>
      </c>
      <c r="F6" s="24">
        <f>D6+E6</f>
        <v/>
      </c>
      <c r="G6" s="17" t="n">
        <v>560</v>
      </c>
      <c r="I6" s="17" t="n">
        <v>700</v>
      </c>
      <c r="J6" s="17" t="n">
        <v>1600</v>
      </c>
    </row>
    <row r="7">
      <c r="A7" s="7" t="inlineStr">
        <is>
          <t>CDSL</t>
        </is>
      </c>
      <c r="B7" s="15" t="n">
        <v>1500</v>
      </c>
      <c r="C7" s="15" t="n">
        <v>20.9</v>
      </c>
      <c r="D7" s="24">
        <f>B7*C7</f>
        <v/>
      </c>
      <c r="E7" s="17" t="n">
        <v>-1200</v>
      </c>
      <c r="F7" s="24">
        <f>D7+E7</f>
        <v/>
      </c>
      <c r="G7" s="17" t="n">
        <v>620</v>
      </c>
      <c r="I7" s="17" t="n">
        <v>800</v>
      </c>
      <c r="J7" s="17" t="n">
        <v>2000</v>
      </c>
    </row>
    <row r="9">
      <c r="A9" s="10" t="inlineStr">
        <is>
          <t>MULTIPLES (x)</t>
        </is>
      </c>
      <c r="B9" s="11" t="n"/>
      <c r="C9" s="11" t="n"/>
      <c r="D9" s="11" t="n"/>
      <c r="E9" s="11" t="n"/>
      <c r="F9" s="11" t="n"/>
      <c r="G9" s="11" t="n"/>
    </row>
    <row r="10">
      <c r="A10" s="32" t="inlineStr">
        <is>
          <t>Company</t>
        </is>
      </c>
      <c r="B10" s="32" t="inlineStr">
        <is>
          <t>EV/EBITDA</t>
        </is>
      </c>
      <c r="C10" s="32" t="inlineStr">
        <is>
          <t>P/E</t>
        </is>
      </c>
      <c r="D10" s="32" t="inlineStr">
        <is>
          <t>P/B</t>
        </is>
      </c>
    </row>
    <row r="11">
      <c r="A11" s="7" t="inlineStr">
        <is>
          <t>MCX</t>
        </is>
      </c>
      <c r="B11" s="27">
        <f>F6/I6</f>
        <v/>
      </c>
      <c r="C11" s="27">
        <f>D6/G6</f>
        <v/>
      </c>
      <c r="D11" s="27">
        <f>D6/J6</f>
        <v/>
      </c>
    </row>
    <row r="12">
      <c r="A12" s="7" t="inlineStr">
        <is>
          <t>CDSL</t>
        </is>
      </c>
      <c r="B12" s="27">
        <f>F7/I7</f>
        <v/>
      </c>
      <c r="C12" s="27">
        <f>D7/G7</f>
        <v/>
      </c>
      <c r="D12" s="27">
        <f>D7/J7</f>
        <v/>
      </c>
    </row>
    <row r="13">
      <c r="A13" s="34" t="inlineStr">
        <is>
          <t>Peer average</t>
        </is>
      </c>
      <c r="B13" s="35">
        <f>AVERAGE(B11:B12)</f>
        <v/>
      </c>
      <c r="C13" s="35">
        <f>AVERAGE(C11:C12)</f>
        <v/>
      </c>
      <c r="D13" s="35">
        <f>AVERAGE(D11:D12)</f>
        <v/>
      </c>
    </row>
    <row r="15">
      <c r="A15" s="10" t="inlineStr">
        <is>
          <t>BSE — IMPLIED VALUE FROM PEER MULTIPLES</t>
        </is>
      </c>
      <c r="B15" s="11" t="n"/>
      <c r="C15" s="11" t="n"/>
      <c r="D15" s="11" t="n"/>
      <c r="E15" s="11" t="n"/>
      <c r="F15" s="11" t="n"/>
      <c r="G15" s="11" t="n"/>
    </row>
    <row r="16">
      <c r="A16" s="19" t="inlineStr">
        <is>
          <t>BSE EBITDA (FY26)</t>
        </is>
      </c>
      <c r="B16" s="20">
        <f>'Income Statement'!D21</f>
        <v/>
      </c>
    </row>
    <row r="17">
      <c r="A17" s="19" t="inlineStr">
        <is>
          <t>BSE PAT (FY26)</t>
        </is>
      </c>
      <c r="B17" s="20">
        <f>'Income Statement'!D28</f>
        <v/>
      </c>
    </row>
    <row r="18">
      <c r="A18" s="19" t="inlineStr">
        <is>
          <t>BSE book value (equity, FY26)</t>
        </is>
      </c>
      <c r="B18" s="20">
        <f>'Balance Sheet'!D20</f>
        <v/>
      </c>
    </row>
    <row r="19">
      <c r="A19" s="19" t="inlineStr">
        <is>
          <t>BSE net debt</t>
        </is>
      </c>
      <c r="B19" s="20">
        <f>Assumptions!$E$50</f>
        <v/>
      </c>
    </row>
    <row r="20">
      <c r="A20" s="19" t="inlineStr">
        <is>
          <t>BSE shares (cr)</t>
        </is>
      </c>
      <c r="B20" s="22">
        <f>Assumptions!$E$49</f>
        <v/>
      </c>
    </row>
    <row r="21">
      <c r="A21" s="25" t="inlineStr">
        <is>
          <t>Implied price/share — EV/EBITDA (Rs)</t>
        </is>
      </c>
      <c r="B21" s="30">
        <f>(B13*B16-B19)/B20</f>
        <v/>
      </c>
    </row>
    <row r="22">
      <c r="A22" s="25" t="inlineStr">
        <is>
          <t>Implied price/share — P/E (Rs)</t>
        </is>
      </c>
      <c r="B22" s="30">
        <f>(C13*B17)/B20</f>
        <v/>
      </c>
    </row>
    <row r="23">
      <c r="A23" s="25" t="inlineStr">
        <is>
          <t>Implied price/share — P/B (Rs)</t>
        </is>
      </c>
      <c r="B23" s="30">
        <f>(D13*B18)/B20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H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" t="inlineStr">
        <is>
          <t>BSE Ltd — Sensitivity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Value per share sensitivity. Each grid cell recomputes value/share from the FCFF stream on the DCF sheet using the row/column driver — fully formula-driven, never typed.</t>
        </is>
      </c>
    </row>
    <row r="3">
      <c r="A3" s="4" t="inlineStr">
        <is>
          <t>Units: Rs per share. Grid 1: WACC (columns) x terminal growth (rows). Grid 2: value vs derivatives ADTO growth.</t>
        </is>
      </c>
    </row>
    <row r="5">
      <c r="A5" s="10" t="inlineStr">
        <is>
          <t>GRID 1 — Value/share: WACC (columns) x Terminal growth (rows)</t>
        </is>
      </c>
      <c r="B5" s="11" t="n"/>
      <c r="C5" s="11" t="n"/>
      <c r="D5" s="11" t="n"/>
      <c r="E5" s="11" t="n"/>
      <c r="F5" s="11" t="n"/>
      <c r="G5" s="11" t="n"/>
      <c r="H5" s="11" t="n"/>
    </row>
    <row r="6">
      <c r="A6" s="7" t="inlineStr">
        <is>
          <t>g \ WACC</t>
        </is>
      </c>
      <c r="B6" s="36">
        <f>'DCF Valuation'!$E$15-0.02</f>
        <v/>
      </c>
      <c r="C6" s="36">
        <f>'DCF Valuation'!$E$15-0.01</f>
        <v/>
      </c>
      <c r="D6" s="36">
        <f>'DCF Valuation'!$E$15+0.0</f>
        <v/>
      </c>
      <c r="E6" s="36">
        <f>'DCF Valuation'!$E$15+0.01</f>
        <v/>
      </c>
      <c r="F6" s="36">
        <f>'DCF Valuation'!$E$15+0.02</f>
        <v/>
      </c>
    </row>
    <row r="7">
      <c r="A7" s="36">
        <f>'DCF Valuation'!$E$16-0.02</f>
        <v/>
      </c>
      <c r="B7" s="22">
        <f>(('DCF Valuation'!$E$23/(1+B$6)^1+'DCF Valuation'!$F$23/(1+B$6)^2+'DCF Valuation'!$G$23/(1+B$6)^3+('DCF Valuation'!$G$23*(1+$A7)/(B$6-$A7))/(1+B$6)^3)-'DCF Valuation'!$E$33)/'DCF Valuation'!$E$35</f>
        <v/>
      </c>
      <c r="C7" s="22">
        <f>(('DCF Valuation'!$E$23/(1+C$6)^1+'DCF Valuation'!$F$23/(1+C$6)^2+'DCF Valuation'!$G$23/(1+C$6)^3+('DCF Valuation'!$G$23*(1+$A7)/(C$6-$A7))/(1+C$6)^3)-'DCF Valuation'!$E$33)/'DCF Valuation'!$E$35</f>
        <v/>
      </c>
      <c r="D7" s="22">
        <f>(('DCF Valuation'!$E$23/(1+D$6)^1+'DCF Valuation'!$F$23/(1+D$6)^2+'DCF Valuation'!$G$23/(1+D$6)^3+('DCF Valuation'!$G$23*(1+$A7)/(D$6-$A7))/(1+D$6)^3)-'DCF Valuation'!$E$33)/'DCF Valuation'!$E$35</f>
        <v/>
      </c>
      <c r="E7" s="22">
        <f>(('DCF Valuation'!$E$23/(1+E$6)^1+'DCF Valuation'!$F$23/(1+E$6)^2+'DCF Valuation'!$G$23/(1+E$6)^3+('DCF Valuation'!$G$23*(1+$A7)/(E$6-$A7))/(1+E$6)^3)-'DCF Valuation'!$E$33)/'DCF Valuation'!$E$35</f>
        <v/>
      </c>
      <c r="F7" s="22">
        <f>(('DCF Valuation'!$E$23/(1+F$6)^1+'DCF Valuation'!$F$23/(1+F$6)^2+'DCF Valuation'!$G$23/(1+F$6)^3+('DCF Valuation'!$G$23*(1+$A7)/(F$6-$A7))/(1+F$6)^3)-'DCF Valuation'!$E$33)/'DCF Valuation'!$E$35</f>
        <v/>
      </c>
    </row>
    <row r="8">
      <c r="A8" s="36">
        <f>'DCF Valuation'!$E$16-0.01</f>
        <v/>
      </c>
      <c r="B8" s="22">
        <f>(('DCF Valuation'!$E$23/(1+B$6)^1+'DCF Valuation'!$F$23/(1+B$6)^2+'DCF Valuation'!$G$23/(1+B$6)^3+('DCF Valuation'!$G$23*(1+$A8)/(B$6-$A8))/(1+B$6)^3)-'DCF Valuation'!$E$33)/'DCF Valuation'!$E$35</f>
        <v/>
      </c>
      <c r="C8" s="22">
        <f>(('DCF Valuation'!$E$23/(1+C$6)^1+'DCF Valuation'!$F$23/(1+C$6)^2+'DCF Valuation'!$G$23/(1+C$6)^3+('DCF Valuation'!$G$23*(1+$A8)/(C$6-$A8))/(1+C$6)^3)-'DCF Valuation'!$E$33)/'DCF Valuation'!$E$35</f>
        <v/>
      </c>
      <c r="D8" s="22">
        <f>(('DCF Valuation'!$E$23/(1+D$6)^1+'DCF Valuation'!$F$23/(1+D$6)^2+'DCF Valuation'!$G$23/(1+D$6)^3+('DCF Valuation'!$G$23*(1+$A8)/(D$6-$A8))/(1+D$6)^3)-'DCF Valuation'!$E$33)/'DCF Valuation'!$E$35</f>
        <v/>
      </c>
      <c r="E8" s="22">
        <f>(('DCF Valuation'!$E$23/(1+E$6)^1+'DCF Valuation'!$F$23/(1+E$6)^2+'DCF Valuation'!$G$23/(1+E$6)^3+('DCF Valuation'!$G$23*(1+$A8)/(E$6-$A8))/(1+E$6)^3)-'DCF Valuation'!$E$33)/'DCF Valuation'!$E$35</f>
        <v/>
      </c>
      <c r="F8" s="22">
        <f>(('DCF Valuation'!$E$23/(1+F$6)^1+'DCF Valuation'!$F$23/(1+F$6)^2+'DCF Valuation'!$G$23/(1+F$6)^3+('DCF Valuation'!$G$23*(1+$A8)/(F$6-$A8))/(1+F$6)^3)-'DCF Valuation'!$E$33)/'DCF Valuation'!$E$35</f>
        <v/>
      </c>
    </row>
    <row r="9">
      <c r="A9" s="36">
        <f>'DCF Valuation'!$E$16+0.0</f>
        <v/>
      </c>
      <c r="B9" s="22">
        <f>(('DCF Valuation'!$E$23/(1+B$6)^1+'DCF Valuation'!$F$23/(1+B$6)^2+'DCF Valuation'!$G$23/(1+B$6)^3+('DCF Valuation'!$G$23*(1+$A9)/(B$6-$A9))/(1+B$6)^3)-'DCF Valuation'!$E$33)/'DCF Valuation'!$E$35</f>
        <v/>
      </c>
      <c r="C9" s="22">
        <f>(('DCF Valuation'!$E$23/(1+C$6)^1+'DCF Valuation'!$F$23/(1+C$6)^2+'DCF Valuation'!$G$23/(1+C$6)^3+('DCF Valuation'!$G$23*(1+$A9)/(C$6-$A9))/(1+C$6)^3)-'DCF Valuation'!$E$33)/'DCF Valuation'!$E$35</f>
        <v/>
      </c>
      <c r="D9" s="22">
        <f>(('DCF Valuation'!$E$23/(1+D$6)^1+'DCF Valuation'!$F$23/(1+D$6)^2+'DCF Valuation'!$G$23/(1+D$6)^3+('DCF Valuation'!$G$23*(1+$A9)/(D$6-$A9))/(1+D$6)^3)-'DCF Valuation'!$E$33)/'DCF Valuation'!$E$35</f>
        <v/>
      </c>
      <c r="E9" s="22">
        <f>(('DCF Valuation'!$E$23/(1+E$6)^1+'DCF Valuation'!$F$23/(1+E$6)^2+'DCF Valuation'!$G$23/(1+E$6)^3+('DCF Valuation'!$G$23*(1+$A9)/(E$6-$A9))/(1+E$6)^3)-'DCF Valuation'!$E$33)/'DCF Valuation'!$E$35</f>
        <v/>
      </c>
      <c r="F9" s="22">
        <f>(('DCF Valuation'!$E$23/(1+F$6)^1+'DCF Valuation'!$F$23/(1+F$6)^2+'DCF Valuation'!$G$23/(1+F$6)^3+('DCF Valuation'!$G$23*(1+$A9)/(F$6-$A9))/(1+F$6)^3)-'DCF Valuation'!$E$33)/'DCF Valuation'!$E$35</f>
        <v/>
      </c>
    </row>
    <row r="10">
      <c r="A10" s="36">
        <f>'DCF Valuation'!$E$16+0.01</f>
        <v/>
      </c>
      <c r="B10" s="22">
        <f>(('DCF Valuation'!$E$23/(1+B$6)^1+'DCF Valuation'!$F$23/(1+B$6)^2+'DCF Valuation'!$G$23/(1+B$6)^3+('DCF Valuation'!$G$23*(1+$A10)/(B$6-$A10))/(1+B$6)^3)-'DCF Valuation'!$E$33)/'DCF Valuation'!$E$35</f>
        <v/>
      </c>
      <c r="C10" s="22">
        <f>(('DCF Valuation'!$E$23/(1+C$6)^1+'DCF Valuation'!$F$23/(1+C$6)^2+'DCF Valuation'!$G$23/(1+C$6)^3+('DCF Valuation'!$G$23*(1+$A10)/(C$6-$A10))/(1+C$6)^3)-'DCF Valuation'!$E$33)/'DCF Valuation'!$E$35</f>
        <v/>
      </c>
      <c r="D10" s="22">
        <f>(('DCF Valuation'!$E$23/(1+D$6)^1+'DCF Valuation'!$F$23/(1+D$6)^2+'DCF Valuation'!$G$23/(1+D$6)^3+('DCF Valuation'!$G$23*(1+$A10)/(D$6-$A10))/(1+D$6)^3)-'DCF Valuation'!$E$33)/'DCF Valuation'!$E$35</f>
        <v/>
      </c>
      <c r="E10" s="22">
        <f>(('DCF Valuation'!$E$23/(1+E$6)^1+'DCF Valuation'!$F$23/(1+E$6)^2+'DCF Valuation'!$G$23/(1+E$6)^3+('DCF Valuation'!$G$23*(1+$A10)/(E$6-$A10))/(1+E$6)^3)-'DCF Valuation'!$E$33)/'DCF Valuation'!$E$35</f>
        <v/>
      </c>
      <c r="F10" s="22">
        <f>(('DCF Valuation'!$E$23/(1+F$6)^1+'DCF Valuation'!$F$23/(1+F$6)^2+'DCF Valuation'!$G$23/(1+F$6)^3+('DCF Valuation'!$G$23*(1+$A10)/(F$6-$A10))/(1+F$6)^3)-'DCF Valuation'!$E$33)/'DCF Valuation'!$E$35</f>
        <v/>
      </c>
    </row>
    <row r="11">
      <c r="A11" s="36">
        <f>'DCF Valuation'!$E$16+0.02</f>
        <v/>
      </c>
      <c r="B11" s="22">
        <f>(('DCF Valuation'!$E$23/(1+B$6)^1+'DCF Valuation'!$F$23/(1+B$6)^2+'DCF Valuation'!$G$23/(1+B$6)^3+('DCF Valuation'!$G$23*(1+$A11)/(B$6-$A11))/(1+B$6)^3)-'DCF Valuation'!$E$33)/'DCF Valuation'!$E$35</f>
        <v/>
      </c>
      <c r="C11" s="22">
        <f>(('DCF Valuation'!$E$23/(1+C$6)^1+'DCF Valuation'!$F$23/(1+C$6)^2+'DCF Valuation'!$G$23/(1+C$6)^3+('DCF Valuation'!$G$23*(1+$A11)/(C$6-$A11))/(1+C$6)^3)-'DCF Valuation'!$E$33)/'DCF Valuation'!$E$35</f>
        <v/>
      </c>
      <c r="D11" s="22">
        <f>(('DCF Valuation'!$E$23/(1+D$6)^1+'DCF Valuation'!$F$23/(1+D$6)^2+'DCF Valuation'!$G$23/(1+D$6)^3+('DCF Valuation'!$G$23*(1+$A11)/(D$6-$A11))/(1+D$6)^3)-'DCF Valuation'!$E$33)/'DCF Valuation'!$E$35</f>
        <v/>
      </c>
      <c r="E11" s="22">
        <f>(('DCF Valuation'!$E$23/(1+E$6)^1+'DCF Valuation'!$F$23/(1+E$6)^2+'DCF Valuation'!$G$23/(1+E$6)^3+('DCF Valuation'!$G$23*(1+$A11)/(E$6-$A11))/(1+E$6)^3)-'DCF Valuation'!$E$33)/'DCF Valuation'!$E$35</f>
        <v/>
      </c>
      <c r="F11" s="22">
        <f>(('DCF Valuation'!$E$23/(1+F$6)^1+'DCF Valuation'!$F$23/(1+F$6)^2+'DCF Valuation'!$G$23/(1+F$6)^3+('DCF Valuation'!$G$23*(1+$A11)/(F$6-$A11))/(1+F$6)^3)-'DCF Valuation'!$E$33)/'DCF Valuation'!$E$35</f>
        <v/>
      </c>
    </row>
    <row r="13">
      <c r="A13" s="10" t="inlineStr">
        <is>
          <t>GRID 2 — Value/share vs derivatives ADTO growth (key volume lever)</t>
        </is>
      </c>
      <c r="B13" s="11" t="n"/>
      <c r="C13" s="11" t="n"/>
      <c r="D13" s="11" t="n"/>
      <c r="E13" s="11" t="n"/>
      <c r="F13" s="11" t="n"/>
      <c r="G13" s="11" t="n"/>
      <c r="H13" s="11" t="n"/>
    </row>
    <row r="14">
      <c r="A14" s="7" t="inlineStr">
        <is>
          <t>Deriv ADTO growth</t>
        </is>
      </c>
      <c r="B14" s="7" t="inlineStr">
        <is>
          <t>Value/share (Rs)</t>
        </is>
      </c>
      <c r="H14" s="13" t="inlineStr">
        <is>
          <t>Note: this grid re-scales FY27E FCFF by the ratio of the sensitised derivatives revenue to base, holding WACC &amp; g at DCF base.</t>
        </is>
      </c>
    </row>
    <row r="15">
      <c r="A15" s="36">
        <f>Assumptions!$E$8-0.15</f>
        <v/>
      </c>
      <c r="B15" s="22">
        <f>(((1+('Segment Revenue Build'!$E$7/'Segment Revenue Build'!$E$19)*((A15-Assumptions!$E$8)/(1+Assumptions!$E$8)))*'DCF Valuation'!$E$23/(1+'DCF Valuation'!$E$15)^1+(1+('Segment Revenue Build'!$E$7/'Segment Revenue Build'!$E$19)*((A15-Assumptions!$E$8)/(1+Assumptions!$E$8)))*'DCF Valuation'!$F$23/(1+'DCF Valuation'!$E$15)^2+(1+('Segment Revenue Build'!$E$7/'Segment Revenue Build'!$E$19)*((A15-Assumptions!$E$8)/(1+Assumptions!$E$8)))*'DCF Valuation'!$G$23/(1+'DCF Valuation'!$E$15)^3+((1+('Segment Revenue Build'!$E$7/'Segment Revenue Build'!$E$19)*((A15-Assumptions!$E$8)/(1+Assumptions!$E$8)))*'DCF Valuation'!$G$23*(1+'DCF Valuation'!$E$16)/('DCF Valuation'!$E$15-'DCF Valuation'!$E$16))/(1+'DCF Valuation'!$E$15)^3)-'DCF Valuation'!$E$33)/'DCF Valuation'!$E$35</f>
        <v/>
      </c>
    </row>
    <row r="16">
      <c r="A16" s="36">
        <f>Assumptions!$E$8-0.1</f>
        <v/>
      </c>
      <c r="B16" s="22">
        <f>(((1+('Segment Revenue Build'!$E$7/'Segment Revenue Build'!$E$19)*((A16-Assumptions!$E$8)/(1+Assumptions!$E$8)))*'DCF Valuation'!$E$23/(1+'DCF Valuation'!$E$15)^1+(1+('Segment Revenue Build'!$E$7/'Segment Revenue Build'!$E$19)*((A16-Assumptions!$E$8)/(1+Assumptions!$E$8)))*'DCF Valuation'!$F$23/(1+'DCF Valuation'!$E$15)^2+(1+('Segment Revenue Build'!$E$7/'Segment Revenue Build'!$E$19)*((A16-Assumptions!$E$8)/(1+Assumptions!$E$8)))*'DCF Valuation'!$G$23/(1+'DCF Valuation'!$E$15)^3+((1+('Segment Revenue Build'!$E$7/'Segment Revenue Build'!$E$19)*((A16-Assumptions!$E$8)/(1+Assumptions!$E$8)))*'DCF Valuation'!$G$23*(1+'DCF Valuation'!$E$16)/('DCF Valuation'!$E$15-'DCF Valuation'!$E$16))/(1+'DCF Valuation'!$E$15)^3)-'DCF Valuation'!$E$33)/'DCF Valuation'!$E$35</f>
        <v/>
      </c>
    </row>
    <row r="17">
      <c r="A17" s="36">
        <f>Assumptions!$E$8-0.05</f>
        <v/>
      </c>
      <c r="B17" s="22">
        <f>(((1+('Segment Revenue Build'!$E$7/'Segment Revenue Build'!$E$19)*((A17-Assumptions!$E$8)/(1+Assumptions!$E$8)))*'DCF Valuation'!$E$23/(1+'DCF Valuation'!$E$15)^1+(1+('Segment Revenue Build'!$E$7/'Segment Revenue Build'!$E$19)*((A17-Assumptions!$E$8)/(1+Assumptions!$E$8)))*'DCF Valuation'!$F$23/(1+'DCF Valuation'!$E$15)^2+(1+('Segment Revenue Build'!$E$7/'Segment Revenue Build'!$E$19)*((A17-Assumptions!$E$8)/(1+Assumptions!$E$8)))*'DCF Valuation'!$G$23/(1+'DCF Valuation'!$E$15)^3+((1+('Segment Revenue Build'!$E$7/'Segment Revenue Build'!$E$19)*((A17-Assumptions!$E$8)/(1+Assumptions!$E$8)))*'DCF Valuation'!$G$23*(1+'DCF Valuation'!$E$16)/('DCF Valuation'!$E$15-'DCF Valuation'!$E$16))/(1+'DCF Valuation'!$E$15)^3)-'DCF Valuation'!$E$33)/'DCF Valuation'!$E$35</f>
        <v/>
      </c>
    </row>
    <row r="18">
      <c r="A18" s="36">
        <f>Assumptions!$E$8+0.0</f>
        <v/>
      </c>
      <c r="B18" s="22">
        <f>(((1+('Segment Revenue Build'!$E$7/'Segment Revenue Build'!$E$19)*((A18-Assumptions!$E$8)/(1+Assumptions!$E$8)))*'DCF Valuation'!$E$23/(1+'DCF Valuation'!$E$15)^1+(1+('Segment Revenue Build'!$E$7/'Segment Revenue Build'!$E$19)*((A18-Assumptions!$E$8)/(1+Assumptions!$E$8)))*'DCF Valuation'!$F$23/(1+'DCF Valuation'!$E$15)^2+(1+('Segment Revenue Build'!$E$7/'Segment Revenue Build'!$E$19)*((A18-Assumptions!$E$8)/(1+Assumptions!$E$8)))*'DCF Valuation'!$G$23/(1+'DCF Valuation'!$E$15)^3+((1+('Segment Revenue Build'!$E$7/'Segment Revenue Build'!$E$19)*((A18-Assumptions!$E$8)/(1+Assumptions!$E$8)))*'DCF Valuation'!$G$23*(1+'DCF Valuation'!$E$16)/('DCF Valuation'!$E$15-'DCF Valuation'!$E$16))/(1+'DCF Valuation'!$E$15)^3)-'DCF Valuation'!$E$33)/'DCF Valuation'!$E$35</f>
        <v/>
      </c>
    </row>
    <row r="19">
      <c r="A19" s="36">
        <f>Assumptions!$E$8+0.05</f>
        <v/>
      </c>
      <c r="B19" s="22">
        <f>(((1+('Segment Revenue Build'!$E$7/'Segment Revenue Build'!$E$19)*((A19-Assumptions!$E$8)/(1+Assumptions!$E$8)))*'DCF Valuation'!$E$23/(1+'DCF Valuation'!$E$15)^1+(1+('Segment Revenue Build'!$E$7/'Segment Revenue Build'!$E$19)*((A19-Assumptions!$E$8)/(1+Assumptions!$E$8)))*'DCF Valuation'!$F$23/(1+'DCF Valuation'!$E$15)^2+(1+('Segment Revenue Build'!$E$7/'Segment Revenue Build'!$E$19)*((A19-Assumptions!$E$8)/(1+Assumptions!$E$8)))*'DCF Valuation'!$G$23/(1+'DCF Valuation'!$E$15)^3+((1+('Segment Revenue Build'!$E$7/'Segment Revenue Build'!$E$19)*((A19-Assumptions!$E$8)/(1+Assumptions!$E$8)))*'DCF Valuation'!$G$23*(1+'DCF Valuation'!$E$16)/('DCF Valuation'!$E$15-'DCF Valuation'!$E$16))/(1+'DCF Valuation'!$E$15)^3)-'DCF Valuation'!$E$33)/'DCF Valuation'!$E$35</f>
        <v/>
      </c>
    </row>
    <row r="20">
      <c r="A20" s="36">
        <f>Assumptions!$E$8+0.1</f>
        <v/>
      </c>
      <c r="B20" s="22">
        <f>(((1+('Segment Revenue Build'!$E$7/'Segment Revenue Build'!$E$19)*((A20-Assumptions!$E$8)/(1+Assumptions!$E$8)))*'DCF Valuation'!$E$23/(1+'DCF Valuation'!$E$15)^1+(1+('Segment Revenue Build'!$E$7/'Segment Revenue Build'!$E$19)*((A20-Assumptions!$E$8)/(1+Assumptions!$E$8)))*'DCF Valuation'!$F$23/(1+'DCF Valuation'!$E$15)^2+(1+('Segment Revenue Build'!$E$7/'Segment Revenue Build'!$E$19)*((A20-Assumptions!$E$8)/(1+Assumptions!$E$8)))*'DCF Valuation'!$G$23/(1+'DCF Valuation'!$E$15)^3+((1+('Segment Revenue Build'!$E$7/'Segment Revenue Build'!$E$19)*((A20-Assumptions!$E$8)/(1+Assumptions!$E$8)))*'DCF Valuation'!$G$23*(1+'DCF Valuation'!$E$16)/('DCF Valuation'!$E$15-'DCF Valuation'!$E$16))/(1+'DCF Valuation'!$E$15)^3)-'DCF Valuation'!$E$33)/'DCF Valuation'!$E$35</f>
        <v/>
      </c>
    </row>
    <row r="21">
      <c r="A21" s="36">
        <f>Assumptions!$E$8+0.15</f>
        <v/>
      </c>
      <c r="B21" s="22">
        <f>(((1+('Segment Revenue Build'!$E$7/'Segment Revenue Build'!$E$19)*((A21-Assumptions!$E$8)/(1+Assumptions!$E$8)))*'DCF Valuation'!$E$23/(1+'DCF Valuation'!$E$15)^1+(1+('Segment Revenue Build'!$E$7/'Segment Revenue Build'!$E$19)*((A21-Assumptions!$E$8)/(1+Assumptions!$E$8)))*'DCF Valuation'!$F$23/(1+'DCF Valuation'!$E$15)^2+(1+('Segment Revenue Build'!$E$7/'Segment Revenue Build'!$E$19)*((A21-Assumptions!$E$8)/(1+Assumptions!$E$8)))*'DCF Valuation'!$G$23/(1+'DCF Valuation'!$E$15)^3+((1+('Segment Revenue Build'!$E$7/'Segment Revenue Build'!$E$19)*((A21-Assumptions!$E$8)/(1+Assumptions!$E$8)))*'DCF Valuation'!$G$23*(1+'DCF Valuation'!$E$16)/('DCF Valuation'!$E$15-'DCF Valuation'!$E$16))/(1+'DCF Valuation'!$E$15)^3)-'DCF Valuation'!$E$33)/'DCF Valuation'!$E$35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2026-09-15T16:18:08Z</dcterms:created>
  <dcterms:modified xmlns:dcterms="http://purl.org/dc/terms/" xmlns:xsi="http://www.w3.org/2001/XMLSchema-instance" xsi:type="dcterms:W3CDTF">2026-09-15T16:18:08Z</dcterms:modified>
</cp:coreProperties>
</file>
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Drivers &amp; History" sheetId="2" state="visible" r:id="rId2"/>
    <sheet xmlns:r="http://schemas.openxmlformats.org/officeDocument/2006/relationships" name="Income Statement"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Segment Revenue Build" sheetId="6" state="visible" r:id="rId6"/>
    <sheet xmlns:r="http://schemas.openxmlformats.org/officeDocument/2006/relationships" name="DCF Valuation" sheetId="7" state="visible" r:id="rId7"/>
    <sheet xmlns:r="http://schemas.openxmlformats.org/officeDocument/2006/relationships" name="Comps" sheetId="8" state="visible" r:id="rId8"/>
    <sheet xmlns:r="http://schemas.openxmlformats.org/officeDocument/2006/relationships" name="Sensitivity" sheetId="9" state="visible" r:id="rId9"/>
    <sheet xmlns:r="http://schemas.openxmlformats.org/officeDocument/2006/relationships" name="Checks" sheetId="10" state="visible" r:id="rId10"/>
  </sheets>
  <definedNames>
    <definedName name="V2_ValuePerShare">'DCF Valuation'!$E$40</definedName>
    <definedName name="V2_WACC">'DCF Valuation'!$E$15</definedName>
    <definedName name="V2_Scenario">'Assumptions'!$C$4</definedName>
  </definedNames>
  <calcPr calcId="124519" fullCalcOnLoad="1"/>
</workbook>
</file>

<file path=xl/styles.xml><?xml version="1.0" encoding="utf-8"?>
<styleSheet xmlns="http://schemas.openxmlformats.org/spreadsheetml/2006/main">
  <numFmts count="8">
    <numFmt numFmtId="164" formatCode="0.0%;(0.0%);&quot;-&quot;"/>
    <numFmt numFmtId="165" formatCode="0.000000"/>
    <numFmt numFmtId="166" formatCode="0.00000%"/>
    <numFmt numFmtId="167" formatCode="0.00000000"/>
    <numFmt numFmtId="168" formatCode="#,##0.0;(#,##0.0);&quot;-&quot;"/>
    <numFmt numFmtId="169" formatCode="#,##0.00;(#,##0.00);&quot;-&quot;"/>
    <numFmt numFmtId="170" formatCode="#,##0;(#,##0);&quot;-&quot;"/>
    <numFmt numFmtId="171" formatCode="#,##0.0&quot;x&quot;;(#,##0.0&quot;x&quot;);&quot;-&quot;"/>
  </numFmts>
  <fonts count="21">
    <font>
      <name val="Calibri"/>
      <family val="2"/>
      <color theme="1"/>
      <sz val="11"/>
      <scheme val="minor"/>
    </font>
    <font>
      <name val="Calibri"/>
      <b val="1"/>
      <color rgb="FFFFFFFF"/>
      <sz val="14"/>
    </font>
    <font>
      <name val="Calibri"/>
      <i val="1"/>
      <color rgb="FF444444"/>
      <sz val="9"/>
    </font>
    <font>
      <name val="Calibri"/>
      <b val="1"/>
      <color rgb="FFC00000"/>
      <sz val="9"/>
    </font>
    <font>
      <name val="Calibri"/>
      <b val="1"/>
      <color rgb="FF000000"/>
      <sz val="10"/>
    </font>
    <font>
      <name val="Calibri"/>
      <b val="1"/>
      <color rgb="FF0000FF"/>
      <sz val="10"/>
    </font>
    <font>
      <name val="Calibri"/>
      <i val="1"/>
      <color rgb="FFC00000"/>
      <sz val="9"/>
    </font>
    <font>
      <name val="Calibri"/>
      <b val="1"/>
      <color rgb="FFFFFFFF"/>
      <sz val="10"/>
    </font>
    <font>
      <name val="Calibri"/>
      <b val="1"/>
      <color rgb="FF1F3864"/>
      <sz val="10"/>
    </font>
    <font>
      <name val="Calibri"/>
      <color rgb="FF000000"/>
      <sz val="10"/>
    </font>
    <font>
      <name val="Calibri"/>
      <color rgb="FF0000FF"/>
      <sz val="10"/>
    </font>
    <font>
      <name val="Calibri"/>
      <i val="1"/>
      <color rgb="FF555555"/>
      <sz val="8"/>
    </font>
    <font>
      <i val="1"/>
      <color rgb="FF375623"/>
      <sz val="8"/>
    </font>
    <font>
      <i val="1"/>
      <color rgb="FF833C00"/>
      <sz val="8"/>
    </font>
    <font>
      <name val="Calibri"/>
      <b val="1"/>
      <color rgb="FF008000"/>
      <sz val="10"/>
    </font>
    <font>
      <name val="Calibri"/>
      <color rgb="FF008000"/>
      <sz val="10"/>
    </font>
    <font>
      <name val="Calibri"/>
      <i val="1"/>
      <color rgb="FF000000"/>
      <sz val="10"/>
    </font>
    <font>
      <b val="1"/>
      <color rgb="FF375623"/>
      <sz val="8"/>
    </font>
    <font>
      <name val="Calibri"/>
      <i val="1"/>
      <color rgb="FFC00000"/>
      <sz val="8"/>
    </font>
    <font>
      <name val="Calibri"/>
      <b val="1"/>
      <color rgb="FFC00000"/>
      <sz val="10"/>
    </font>
    <font>
      <name val="Calibri"/>
      <b val="1"/>
      <i val="1"/>
      <color rgb="FF000000"/>
      <sz val="10"/>
    </font>
  </fonts>
  <fills count="11">
    <fill>
      <patternFill/>
    </fill>
    <fill>
      <patternFill patternType="gray125"/>
    </fill>
    <fill>
      <patternFill patternType="solid">
        <fgColor rgb="FF1F3864"/>
      </patternFill>
    </fill>
    <fill>
      <patternFill patternType="solid">
        <fgColor rgb="FFFFFF00"/>
      </patternFill>
    </fill>
    <fill>
      <patternFill patternType="solid">
        <fgColor rgb="FF375623"/>
      </patternFill>
    </fill>
    <fill>
      <patternFill patternType="solid">
        <fgColor rgb="FF2E75B6"/>
      </patternFill>
    </fill>
    <fill>
      <patternFill patternType="solid">
        <fgColor rgb="FFC00000"/>
      </patternFill>
    </fill>
    <fill>
      <patternFill patternType="solid">
        <fgColor rgb="FF548235"/>
      </patternFill>
    </fill>
    <fill>
      <patternFill patternType="solid">
        <fgColor rgb="FF7030A0"/>
      </patternFill>
    </fill>
    <fill>
      <patternFill patternType="solid">
        <fgColor rgb="FFD9E1F2"/>
      </patternFill>
    </fill>
    <fill>
      <patternFill patternType="solid">
        <fgColor rgb="FF833C00"/>
      </patternFill>
    </fill>
  </fills>
  <borders count="1">
    <border>
      <left/>
      <right/>
      <top/>
      <bottom/>
      <diagonal/>
    </border>
  </borders>
  <cellStyleXfs count="1">
    <xf numFmtId="0" fontId="0" fillId="0" borderId="0"/>
  </cellStyleXfs>
  <cellXfs count="72">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indent="1"/>
    </xf>
    <xf numFmtId="0" fontId="3" fillId="0" borderId="0" applyAlignment="1" pivotButton="0" quotePrefix="0" xfId="0">
      <alignment horizontal="left" vertical="center" indent="1"/>
    </xf>
    <xf numFmtId="0" fontId="4" fillId="0" borderId="0" applyAlignment="1" pivotButton="0" quotePrefix="0" xfId="0">
      <alignment horizontal="left" vertical="center"/>
    </xf>
    <xf numFmtId="1" fontId="5" fillId="3" borderId="0" applyAlignment="1" pivotButton="0" quotePrefix="0" xfId="0">
      <alignment horizontal="right" vertical="center"/>
    </xf>
    <xf numFmtId="0" fontId="6" fillId="0" borderId="0" applyAlignment="1" pivotButton="0" quotePrefix="0" xfId="0">
      <alignment horizontal="left" vertical="center"/>
    </xf>
    <xf numFmtId="49" fontId="7" fillId="4" borderId="0" applyAlignment="1" pivotButton="0" quotePrefix="0" xfId="0">
      <alignment horizontal="center"/>
    </xf>
    <xf numFmtId="0" fontId="7" fillId="5" borderId="0" applyAlignment="1" pivotButton="0" quotePrefix="0" xfId="0">
      <alignment horizontal="center"/>
    </xf>
    <xf numFmtId="0" fontId="7" fillId="6" borderId="0" applyAlignment="1" pivotButton="0" quotePrefix="0" xfId="0">
      <alignment horizontal="center"/>
    </xf>
    <xf numFmtId="0" fontId="7" fillId="7" borderId="0" applyAlignment="1" pivotButton="0" quotePrefix="0" xfId="0">
      <alignment horizontal="center"/>
    </xf>
    <xf numFmtId="0" fontId="7" fillId="8" borderId="0" applyAlignment="1" pivotButton="0" quotePrefix="0" xfId="0">
      <alignment horizontal="center"/>
    </xf>
    <xf numFmtId="0" fontId="8" fillId="9" borderId="0" applyAlignment="1" pivotButton="0" quotePrefix="0" xfId="0">
      <alignment horizontal="left" vertical="center"/>
    </xf>
    <xf numFmtId="0" fontId="0" fillId="9" borderId="0" pivotButton="0" quotePrefix="0" xfId="0"/>
    <xf numFmtId="0" fontId="9" fillId="0" borderId="0" applyAlignment="1" pivotButton="0" quotePrefix="0" xfId="0">
      <alignment horizontal="left" vertical="center" indent="1"/>
    </xf>
    <xf numFmtId="164" fontId="10" fillId="3" borderId="0" applyAlignment="1" pivotButton="0" quotePrefix="0" xfId="0">
      <alignment horizontal="right" vertical="center"/>
    </xf>
    <xf numFmtId="164" fontId="4" fillId="0" borderId="0" applyAlignment="1" pivotButton="0" quotePrefix="0" xfId="0">
      <alignment horizontal="right" vertical="center"/>
    </xf>
    <xf numFmtId="0" fontId="11" fillId="0" borderId="0" applyAlignment="1" pivotButton="0" quotePrefix="0" xfId="0">
      <alignment horizontal="left" vertical="center"/>
    </xf>
    <xf numFmtId="165" fontId="10" fillId="3" borderId="0" applyAlignment="1" pivotButton="0" quotePrefix="0" xfId="0">
      <alignment horizontal="right" vertical="center"/>
    </xf>
    <xf numFmtId="165" fontId="4" fillId="0" borderId="0" applyAlignment="1" pivotButton="0" quotePrefix="0" xfId="0">
      <alignment horizontal="right" vertical="center"/>
    </xf>
    <xf numFmtId="166" fontId="10" fillId="3" borderId="0" applyAlignment="1" pivotButton="0" quotePrefix="0" xfId="0">
      <alignment horizontal="right" vertical="center"/>
    </xf>
    <xf numFmtId="166" fontId="4" fillId="0" borderId="0" applyAlignment="1" pivotButton="0" quotePrefix="0" xfId="0">
      <alignment horizontal="right" vertical="center"/>
    </xf>
    <xf numFmtId="167" fontId="10" fillId="3" borderId="0" applyAlignment="1" pivotButton="0" quotePrefix="0" xfId="0">
      <alignment horizontal="right" vertical="center"/>
    </xf>
    <xf numFmtId="167" fontId="4" fillId="0" borderId="0" applyAlignment="1" pivotButton="0" quotePrefix="0" xfId="0">
      <alignment horizontal="right" vertical="center"/>
    </xf>
    <xf numFmtId="168" fontId="10" fillId="3" borderId="0" applyAlignment="1" pivotButton="0" quotePrefix="0" xfId="0">
      <alignment horizontal="right" vertical="center"/>
    </xf>
    <xf numFmtId="168" fontId="4" fillId="0" borderId="0" applyAlignment="1" pivotButton="0" quotePrefix="0" xfId="0">
      <alignment horizontal="right" vertical="center"/>
    </xf>
    <xf numFmtId="169" fontId="10" fillId="3" borderId="0" applyAlignment="1" pivotButton="0" quotePrefix="0" xfId="0">
      <alignment horizontal="right" vertical="center"/>
    </xf>
    <xf numFmtId="169" fontId="4" fillId="0" borderId="0" applyAlignment="1" pivotButton="0" quotePrefix="0" xfId="0">
      <alignment horizontal="right" vertical="center"/>
    </xf>
    <xf numFmtId="1" fontId="10" fillId="3" borderId="0" applyAlignment="1" pivotButton="0" quotePrefix="0" xfId="0">
      <alignment horizontal="right" vertical="center"/>
    </xf>
    <xf numFmtId="1" fontId="4" fillId="0" borderId="0" applyAlignment="1" pivotButton="0" quotePrefix="0" xfId="0">
      <alignment horizontal="right" vertical="center"/>
    </xf>
    <xf numFmtId="0" fontId="12" fillId="0" borderId="0" pivotButton="0" quotePrefix="0" xfId="0"/>
    <xf numFmtId="0" fontId="13" fillId="0" borderId="0" pivotButton="0" quotePrefix="0" xfId="0"/>
    <xf numFmtId="49" fontId="7" fillId="10" borderId="0" applyAlignment="1" pivotButton="0" quotePrefix="0" xfId="0">
      <alignment horizontal="center" vertical="center"/>
    </xf>
    <xf numFmtId="49" fontId="7" fillId="4" borderId="0" applyAlignment="1" pivotButton="0" quotePrefix="0" xfId="0">
      <alignment horizontal="center" vertical="center"/>
    </xf>
    <xf numFmtId="0" fontId="4" fillId="0" borderId="0" applyAlignment="1" pivotButton="0" quotePrefix="0" xfId="0">
      <alignment horizontal="left" vertical="center" indent="1"/>
    </xf>
    <xf numFmtId="170" fontId="5" fillId="3" borderId="0" applyAlignment="1" pivotButton="0" quotePrefix="0" xfId="0">
      <alignment horizontal="right" vertical="center"/>
    </xf>
    <xf numFmtId="170" fontId="14" fillId="0" borderId="0" applyAlignment="1" pivotButton="0" quotePrefix="0" xfId="0">
      <alignment horizontal="right" vertical="center"/>
    </xf>
    <xf numFmtId="166" fontId="5" fillId="3" borderId="0" applyAlignment="1" pivotButton="0" quotePrefix="0" xfId="0">
      <alignment horizontal="right" vertical="center"/>
    </xf>
    <xf numFmtId="166" fontId="14" fillId="0" borderId="0" applyAlignment="1" pivotButton="0" quotePrefix="0" xfId="0">
      <alignment horizontal="right" vertical="center"/>
    </xf>
    <xf numFmtId="170" fontId="4" fillId="0" borderId="0" applyAlignment="1" pivotButton="0" quotePrefix="0" xfId="0">
      <alignment horizontal="right" vertical="center"/>
    </xf>
    <xf numFmtId="169" fontId="5" fillId="3" borderId="0" applyAlignment="1" pivotButton="0" quotePrefix="0" xfId="0">
      <alignment horizontal="right" vertical="center"/>
    </xf>
    <xf numFmtId="169" fontId="14" fillId="0" borderId="0" applyAlignment="1" pivotButton="0" quotePrefix="0" xfId="0">
      <alignment horizontal="right" vertical="center"/>
    </xf>
    <xf numFmtId="170" fontId="10" fillId="3" borderId="0" applyAlignment="1" pivotButton="0" quotePrefix="0" xfId="0">
      <alignment horizontal="right" vertical="center"/>
    </xf>
    <xf numFmtId="170" fontId="9" fillId="0" borderId="0" applyAlignment="1" pivotButton="0" quotePrefix="0" xfId="0">
      <alignment horizontal="right" vertical="center"/>
    </xf>
    <xf numFmtId="170" fontId="15" fillId="0" borderId="0" applyAlignment="1" pivotButton="0" quotePrefix="0" xfId="0">
      <alignment horizontal="right" vertical="center"/>
    </xf>
    <xf numFmtId="0" fontId="17" fillId="9" borderId="0" applyAlignment="1" pivotButton="0" quotePrefix="0" xfId="0">
      <alignment horizontal="center"/>
    </xf>
    <xf numFmtId="0" fontId="17" fillId="0" borderId="0" applyAlignment="1" pivotButton="0" quotePrefix="0" xfId="0">
      <alignment horizontal="center"/>
    </xf>
    <xf numFmtId="0" fontId="16" fillId="0" borderId="0" applyAlignment="1" pivotButton="0" quotePrefix="0" xfId="0">
      <alignment horizontal="left" vertical="center" indent="1"/>
    </xf>
    <xf numFmtId="0" fontId="18" fillId="0" borderId="0" applyAlignment="1" pivotButton="0" quotePrefix="0" xfId="0">
      <alignment horizontal="left" vertical="center"/>
    </xf>
    <xf numFmtId="0" fontId="4" fillId="9" borderId="0" applyAlignment="1" pivotButton="0" quotePrefix="0" xfId="0">
      <alignment horizontal="left" vertical="center"/>
    </xf>
    <xf numFmtId="168" fontId="9" fillId="0" borderId="0" applyAlignment="1" pivotButton="0" quotePrefix="0" xfId="0">
      <alignment horizontal="right" vertical="center"/>
    </xf>
    <xf numFmtId="168" fontId="14" fillId="0" borderId="0" applyAlignment="1" pivotButton="0" quotePrefix="0" xfId="0">
      <alignment horizontal="right" vertical="center"/>
    </xf>
    <xf numFmtId="168" fontId="15" fillId="0" borderId="0" applyAlignment="1" pivotButton="0" quotePrefix="0" xfId="0">
      <alignment horizontal="right" vertical="center"/>
    </xf>
    <xf numFmtId="0" fontId="16" fillId="0" borderId="0" applyAlignment="1" pivotButton="0" quotePrefix="0" xfId="0">
      <alignment horizontal="left" vertical="center" indent="2"/>
    </xf>
    <xf numFmtId="168" fontId="5" fillId="3" borderId="0" applyAlignment="1" pivotButton="0" quotePrefix="0" xfId="0">
      <alignment horizontal="right" vertical="center"/>
    </xf>
    <xf numFmtId="164" fontId="9" fillId="0" borderId="0" applyAlignment="1" pivotButton="0" quotePrefix="0" xfId="0">
      <alignment horizontal="right" vertical="center"/>
    </xf>
    <xf numFmtId="171" fontId="9" fillId="0" borderId="0" applyAlignment="1" pivotButton="0" quotePrefix="0" xfId="0">
      <alignment horizontal="right" vertical="center"/>
    </xf>
    <xf numFmtId="171" fontId="4" fillId="0" borderId="0" applyAlignment="1" pivotButton="0" quotePrefix="0" xfId="0">
      <alignment horizontal="right" vertical="center"/>
    </xf>
    <xf numFmtId="164" fontId="15" fillId="0" borderId="0" applyAlignment="1" pivotButton="0" quotePrefix="0" xfId="0">
      <alignment horizontal="right" vertical="center"/>
    </xf>
    <xf numFmtId="169" fontId="15" fillId="0" borderId="0" applyAlignment="1" pivotButton="0" quotePrefix="0" xfId="0">
      <alignment horizontal="right" vertical="center"/>
    </xf>
    <xf numFmtId="164" fontId="14" fillId="0" borderId="0" applyAlignment="1" pivotButton="0" quotePrefix="0" xfId="0">
      <alignment horizontal="right" vertical="center"/>
    </xf>
    <xf numFmtId="0" fontId="12" fillId="9" borderId="0" pivotButton="0" quotePrefix="0" xfId="0"/>
    <xf numFmtId="0" fontId="13" fillId="9" borderId="0" pivotButton="0" quotePrefix="0" xfId="0"/>
    <xf numFmtId="169" fontId="9" fillId="0" borderId="0" applyAlignment="1" pivotButton="0" quotePrefix="0" xfId="0">
      <alignment horizontal="right" vertical="center"/>
    </xf>
    <xf numFmtId="171" fontId="15" fillId="0" borderId="0" applyAlignment="1" pivotButton="0" quotePrefix="0" xfId="0">
      <alignment horizontal="right" vertical="center"/>
    </xf>
    <xf numFmtId="171" fontId="14" fillId="0" borderId="0" applyAlignment="1" pivotButton="0" quotePrefix="0" xfId="0">
      <alignment horizontal="right" vertical="center"/>
    </xf>
    <xf numFmtId="0" fontId="19" fillId="0" borderId="0" applyAlignment="1" pivotButton="0" quotePrefix="0" xfId="0">
      <alignment horizontal="left" vertical="center"/>
    </xf>
    <xf numFmtId="0" fontId="7" fillId="2" borderId="0" applyAlignment="1" pivotButton="0" quotePrefix="0" xfId="0">
      <alignment horizontal="center"/>
    </xf>
    <xf numFmtId="0" fontId="20" fillId="0" borderId="0" applyAlignment="1" pivotButton="0" quotePrefix="0" xfId="0">
      <alignment horizontal="left" vertical="center"/>
    </xf>
    <xf numFmtId="49" fontId="4" fillId="0" borderId="0" applyAlignment="1" pivotButton="0" quotePrefix="0" xfId="0">
      <alignment horizontal="right" vertical="center"/>
    </xf>
    <xf numFmtId="171" fontId="10" fillId="3"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FFC000"/>
    <outlinePr summaryBelow="1" summaryRight="1"/>
    <pageSetUpPr/>
  </sheetPr>
  <dimension ref="A1:I74"/>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62" customWidth="1" min="9" max="9"/>
  </cols>
  <sheetData>
    <row r="1" ht="24" customHeight="1">
      <c r="A1" s="1" t="inlineStr">
        <is>
          <t>BSE Ltd — Assumptions, Drivers &amp; Scenario Manager</t>
        </is>
      </c>
      <c r="B1" s="2" t="n"/>
      <c r="C1" s="2" t="n"/>
      <c r="D1" s="2" t="n"/>
      <c r="E1" s="2" t="n"/>
      <c r="F1" s="2" t="n"/>
      <c r="G1" s="2" t="n"/>
      <c r="H1" s="2" t="n"/>
      <c r="I1" s="2" t="n"/>
    </row>
    <row r="2">
      <c r="A2" s="3" t="inlineStr">
        <is>
          <t>Yellow cells are editable. Base/Bear/Bull are typed inputs; the ACTIVE column resolves the selected scenario and is the ONLY column downstream tabs reference. Driver architecture follows management's own statement: revenue on premium, SEBI levy on notional, clearing on contracts.</t>
        </is>
      </c>
    </row>
    <row r="3">
      <c r="A3" s="4" t="inlineStr">
        <is>
          <t>Units: Rs Crore. Percentages stored as decimals. Realisation = Rs cr of charges per Rs cr of ADT.</t>
        </is>
      </c>
    </row>
    <row r="4">
      <c r="A4" s="5" t="inlineStr">
        <is>
          <t>SCENARIO  (1 = Base · 2 = Bear · 3 = Bull)</t>
        </is>
      </c>
      <c r="C4" s="6" t="n">
        <v>1</v>
      </c>
      <c r="E4" s="7" t="inlineStr">
        <is>
          <t>&lt;- change this one cell to switch the whole model</t>
        </is>
      </c>
    </row>
    <row r="6">
      <c r="A6" s="5" t="inlineStr">
        <is>
          <t>Driver</t>
        </is>
      </c>
      <c r="B6" s="8" t="inlineStr">
        <is>
          <t>FY24</t>
        </is>
      </c>
      <c r="C6" s="8" t="inlineStr">
        <is>
          <t>FY25</t>
        </is>
      </c>
      <c r="D6" s="8" t="inlineStr">
        <is>
          <t>FY26</t>
        </is>
      </c>
      <c r="E6" s="9" t="inlineStr">
        <is>
          <t>Base</t>
        </is>
      </c>
      <c r="F6" s="10" t="inlineStr">
        <is>
          <t>Bear</t>
        </is>
      </c>
      <c r="G6" s="11" t="inlineStr">
        <is>
          <t>Bull</t>
        </is>
      </c>
      <c r="H6" s="12" t="inlineStr">
        <is>
          <t>ACTIVE</t>
        </is>
      </c>
      <c r="I6" s="5" t="inlineStr">
        <is>
          <t>Source / basis</t>
        </is>
      </c>
    </row>
    <row r="7">
      <c r="A7" s="13" t="inlineStr">
        <is>
          <t>DRIVER 1 — index-options PREMIUM ADT (revenue rides this)</t>
        </is>
      </c>
      <c r="B7" s="14" t="n"/>
      <c r="C7" s="14" t="n"/>
      <c r="D7" s="14" t="n"/>
      <c r="E7" s="14" t="n"/>
      <c r="F7" s="14" t="n"/>
      <c r="G7" s="14" t="n"/>
      <c r="H7" s="14" t="n"/>
      <c r="I7" s="14" t="n"/>
    </row>
    <row r="8">
      <c r="A8" s="15" t="inlineStr">
        <is>
          <t>Premium ADT growth — FY27E (%)</t>
        </is>
      </c>
      <c r="E8" s="16" t="n">
        <v>0.35</v>
      </c>
      <c r="F8" s="16" t="n">
        <v>0</v>
      </c>
      <c r="G8" s="16" t="n">
        <v>0.6</v>
      </c>
      <c r="H8" s="17">
        <f>CHOOSE($C$4,E8,F8,G8)</f>
        <v/>
      </c>
      <c r="I8" s="18" t="inlineStr">
        <is>
          <t>Applied to the FY26 AVERAGE of Rs19,523cr. Base +35% -&gt; Rs26,356cr, which is still 11% BELOW the Q1FY27 actual of Rs29,615cr, so the base is NOT aggressive on this driver. WARNING on the bear: 0% holds FY27E at the FY26 average, which is a 34% FALL from the already-printed Q1FY27 run-rate — the bear is a reversion case, not a 'flat' case. [AR FY26 MD&amp;A p58/pr47; Q1FY27 IP slide 13]</t>
        </is>
      </c>
    </row>
    <row r="9">
      <c r="A9" s="15" t="inlineStr">
        <is>
          <t>Premium ADT growth — FY28E (%)</t>
        </is>
      </c>
      <c r="E9" s="16" t="n">
        <v>0.08</v>
      </c>
      <c r="F9" s="16" t="n">
        <v>-0.05</v>
      </c>
      <c r="G9" s="16" t="n">
        <v>0.35</v>
      </c>
      <c r="H9" s="17">
        <f>CHOOSE($C$4,E9,F9,G9)</f>
        <v/>
      </c>
      <c r="I9" s="18" t="inlineStr">
        <is>
          <t>Bull = the 34.97%/yr for 3 years the research says the price requires.</t>
        </is>
      </c>
    </row>
    <row r="10">
      <c r="A10" s="15" t="inlineStr">
        <is>
          <t>Premium ADT growth — FY29E (%)</t>
        </is>
      </c>
      <c r="E10" s="16" t="n">
        <v>0.0646</v>
      </c>
      <c r="F10" s="16" t="n">
        <v>0</v>
      </c>
      <c r="G10" s="16" t="n">
        <v>0.35</v>
      </c>
      <c r="H10" s="17">
        <f>CHOOSE($C$4,E10,F10,G10)</f>
        <v/>
      </c>
      <c r="I10" s="18" t="inlineStr">
        <is>
          <t>Base set EQUAL to two-exchange pool growth (6.46%) so implied market share STOPS rising — otherwise the base case silently assumes BSE keeps taking share from NSE forever, which contradicts 'share gains exhaust'. Check the implied FY29E share on the Checks tab.</t>
        </is>
      </c>
    </row>
    <row r="11">
      <c r="A11" s="15" t="inlineStr">
        <is>
          <t>Derivatives realisation (Rs cr per Rs cr premium ADT)</t>
        </is>
      </c>
      <c r="C11" s="19" t="n">
        <v>0.157668</v>
      </c>
      <c r="D11" s="19" t="n">
        <v>0.160547</v>
      </c>
      <c r="E11" s="19" t="n">
        <v>0.15252</v>
      </c>
      <c r="F11" s="19" t="n">
        <v>0.144492</v>
      </c>
      <c r="G11" s="19" t="n">
        <v>0.160547</v>
      </c>
      <c r="H11" s="20">
        <f>CHOOSE($C$4,E11,F11,G11)</f>
        <v/>
      </c>
      <c r="I11" s="18" t="inlineStr">
        <is>
          <t>FY26 = 3,134.37/19,523 = 0.160547 (+1.83% on FY25). Q1FY27 realisation went FLAT then -1.63%. Base holds it 5% below FY26 per the research's base case.</t>
        </is>
      </c>
    </row>
    <row r="12">
      <c r="A12" s="13" t="inlineStr">
        <is>
          <t>DRIVER 2 — the premium/notional WEDGE (the levy rides this)</t>
        </is>
      </c>
      <c r="B12" s="14" t="n"/>
      <c r="C12" s="14" t="n"/>
      <c r="D12" s="14" t="n"/>
      <c r="E12" s="14" t="n"/>
      <c r="F12" s="14" t="n"/>
      <c r="G12" s="14" t="n"/>
      <c r="H12" s="14" t="n"/>
      <c r="I12" s="14" t="n"/>
    </row>
    <row r="13">
      <c r="A13" s="15" t="inlineStr">
        <is>
          <t>Premium / notional ratio (%)</t>
        </is>
      </c>
      <c r="C13" s="21" t="n">
        <v>0.00081126</v>
      </c>
      <c r="D13" s="21" t="n">
        <v>0.00104315</v>
      </c>
      <c r="E13" s="21" t="n">
        <v>0.00104315</v>
      </c>
      <c r="F13" s="21" t="n">
        <v>0.00091491</v>
      </c>
      <c r="G13" s="21" t="n">
        <v>0.00124959</v>
      </c>
      <c r="H13" s="22">
        <f>CHOOSE($C$4,E13,F13,G13)</f>
        <v/>
      </c>
      <c r="I13" s="18" t="inlineStr">
        <is>
          <t>THE key variable. FY26 0.104315%. Bear = Q2FY26 low 0.091491% ALREADY PRINTED this cycle (costs Rs385cr of derivatives revenue). Bull = Q1FY27 high 0.124959%. Management: 'it is, of course, not predictable'.</t>
        </is>
      </c>
    </row>
    <row r="14">
      <c r="A14" s="15" t="inlineStr">
        <is>
          <t>SEBI levy rate (Rs cr per Rs cr notional ADT)</t>
        </is>
      </c>
      <c r="C14" s="23" t="n">
        <v>2.995e-05</v>
      </c>
      <c r="D14" s="23" t="n">
        <v>3.025e-05</v>
      </c>
      <c r="E14" s="23" t="n">
        <v>3.025e-05</v>
      </c>
      <c r="F14" s="23" t="n">
        <v>3.025e-05</v>
      </c>
      <c r="G14" s="23" t="n">
        <v>3.025e-05</v>
      </c>
      <c r="H14" s="24">
        <f>CHOOSE($C$4,E14,F14,G14)</f>
        <v/>
      </c>
      <c r="I14" s="18" t="inlineStr">
        <is>
          <t>FY26 566.16/18,715,375 = 0.00003025. Tracked its base to +1.0%. SEBI sets the rate; a rate change is a separate thesis-breaker, held flat here.</t>
        </is>
      </c>
    </row>
    <row r="15">
      <c r="A15" s="13" t="inlineStr">
        <is>
          <t>DRIVER 3 — CONTRACT COUNT (clearing cost rides this)</t>
        </is>
      </c>
      <c r="B15" s="14" t="n"/>
      <c r="C15" s="14" t="n"/>
      <c r="D15" s="14" t="n"/>
      <c r="E15" s="14" t="n"/>
      <c r="F15" s="14" t="n"/>
      <c r="G15" s="14" t="n"/>
      <c r="H15" s="14" t="n"/>
      <c r="I15" s="14" t="n"/>
    </row>
    <row r="16">
      <c r="A16" s="15" t="inlineStr">
        <is>
          <t>Contract count growth (%)</t>
        </is>
      </c>
      <c r="E16" s="16" t="n">
        <v>0.05</v>
      </c>
      <c r="F16" s="16" t="n">
        <v>-0.1</v>
      </c>
      <c r="G16" s="16" t="n">
        <v>0.15</v>
      </c>
      <c r="H16" s="17">
        <f>CHOOSE($C$4,E16,F16,G16)</f>
        <v/>
      </c>
      <c r="I16" s="18" t="inlineStr">
        <is>
          <t>FY26 contracts FELL 6.53% while revenue rose 63.46% — proof the three series diverge. Avg daily lots 153mn (Q2FY25) -&gt; 100mn (Q2FY26).</t>
        </is>
      </c>
    </row>
    <row r="17">
      <c r="A17" s="15" t="inlineStr">
        <is>
          <t>Clearing cost per contract-index unit (Rs cr)</t>
        </is>
      </c>
      <c r="D17" s="25" t="n">
        <v>280.35</v>
      </c>
      <c r="E17" s="25" t="n">
        <v>280.35</v>
      </c>
      <c r="F17" s="25" t="n">
        <v>300</v>
      </c>
      <c r="G17" s="25" t="n">
        <v>260</v>
      </c>
      <c r="H17" s="26">
        <f>CHOOSE($C$4,E17,F17,G17)</f>
        <v/>
      </c>
      <c r="I17" s="18" t="inlineStr">
        <is>
          <t>FY26 clearing 280.35cr at contracts index 1.000. Fell 19.45% while notional rose 69.11% (81.18% of the fall was an intra-group elimination, per W3_cost).</t>
        </is>
      </c>
    </row>
    <row r="18">
      <c r="A18" s="13" t="inlineStr">
        <is>
          <t>EQUITY CASH SEGMENT</t>
        </is>
      </c>
      <c r="B18" s="14" t="n"/>
      <c r="C18" s="14" t="n"/>
      <c r="D18" s="14" t="n"/>
      <c r="E18" s="14" t="n"/>
      <c r="F18" s="14" t="n"/>
      <c r="G18" s="14" t="n"/>
      <c r="H18" s="14" t="n"/>
      <c r="I18" s="14" t="n"/>
    </row>
    <row r="19">
      <c r="A19" s="15" t="inlineStr">
        <is>
          <t>Cash ADT growth (%)</t>
        </is>
      </c>
      <c r="E19" s="16" t="n">
        <v>0.02</v>
      </c>
      <c r="F19" s="16" t="n">
        <v>-0.1</v>
      </c>
      <c r="G19" s="16" t="n">
        <v>0.06</v>
      </c>
      <c r="H19" s="17">
        <f>CHOOSE($C$4,E19,F19,G19)</f>
        <v/>
      </c>
      <c r="I19" s="18" t="inlineStr">
        <is>
          <t>FY26 cash ADT Rs7,950cr (+2.36%). Three down-years in ten; FY18-&gt;FY20 peak-to-trough -39.2%.</t>
        </is>
      </c>
    </row>
    <row r="20">
      <c r="A20" s="15" t="inlineStr">
        <is>
          <t>Cash realisation (Rs cr per Rs cr cash ADT)</t>
        </is>
      </c>
      <c r="C20" s="19" t="n">
        <v>0.039088</v>
      </c>
      <c r="D20" s="19" t="n">
        <v>0.031473</v>
      </c>
      <c r="E20" s="19" t="n">
        <v>0.0288</v>
      </c>
      <c r="F20" s="19" t="n">
        <v>0.0271</v>
      </c>
      <c r="G20" s="19" t="n">
        <v>0.031473</v>
      </c>
      <c r="H20" s="20">
        <f>CHOOSE($C$4,E20,F20,G20)</f>
        <v/>
      </c>
      <c r="I20" s="18" t="inlineStr">
        <is>
          <t>FY26 = 250.21/7,950 = 0.031473, DOWN 19.48% on a RISING volume base (a repricing, not a volume effect). Q1FY27 a further -13.93%.</t>
        </is>
      </c>
    </row>
    <row r="21">
      <c r="A21" s="13" t="inlineStr">
        <is>
          <t>OTHER REVENUE LINES (growth on prior year)</t>
        </is>
      </c>
      <c r="B21" s="14" t="n"/>
      <c r="C21" s="14" t="n"/>
      <c r="D21" s="14" t="n"/>
      <c r="E21" s="14" t="n"/>
      <c r="F21" s="14" t="n"/>
      <c r="G21" s="14" t="n"/>
      <c r="H21" s="14" t="n"/>
      <c r="I21" s="14" t="n"/>
    </row>
    <row r="22">
      <c r="A22" s="15" t="inlineStr">
        <is>
          <t>StAR MF platform fees growth (%)</t>
        </is>
      </c>
      <c r="E22" s="16" t="n">
        <v>0.15</v>
      </c>
      <c r="F22" s="16" t="n">
        <v>0</v>
      </c>
      <c r="G22" s="16" t="n">
        <v>0.25</v>
      </c>
      <c r="H22" s="17">
        <f>CHOOSE($C$4,E22,F22,G22)</f>
        <v/>
      </c>
      <c r="I22" s="18" t="inlineStr">
        <is>
          <t>FY26 +23%. But realisation per order FELL 2.56%, then 6.33% in Q1FY27.</t>
        </is>
      </c>
    </row>
    <row r="23">
      <c r="A23" s="15" t="inlineStr">
        <is>
          <t>Listing fees growth (%)</t>
        </is>
      </c>
      <c r="E23" s="16" t="n">
        <v>0.1</v>
      </c>
      <c r="F23" s="16" t="n">
        <v>0.04</v>
      </c>
      <c r="G23" s="16" t="n">
        <v>0.14</v>
      </c>
      <c r="H23" s="17">
        <f>CHOOSE($C$4,E23,F23,G23)</f>
        <v/>
      </c>
      <c r="I23" s="18" t="inlineStr">
        <is>
          <t>FY26 +10%. Annual fee per listed company Rs4.273 lakh, +4.01% — the ONLY rising realisation.</t>
        </is>
      </c>
    </row>
    <row r="24">
      <c r="A24" s="15" t="inlineStr">
        <is>
          <t>Book building / IPO fees growth (%)</t>
        </is>
      </c>
      <c r="E24" s="16" t="n">
        <v>0.1</v>
      </c>
      <c r="F24" s="16" t="n">
        <v>-0.1</v>
      </c>
      <c r="G24" s="16" t="n">
        <v>0.2</v>
      </c>
      <c r="H24" s="17">
        <f>CHOOSE($C$4,E24,F24,G24)</f>
        <v/>
      </c>
      <c r="I24" s="18" t="inlineStr">
        <is>
          <t>FY26 +9%. Cyclical with the IPO pipeline.</t>
        </is>
      </c>
    </row>
    <row r="25">
      <c r="A25" s="15" t="inlineStr">
        <is>
          <t>Data feed &amp; index licensing growth (%)</t>
        </is>
      </c>
      <c r="E25" s="16" t="n">
        <v>0.14</v>
      </c>
      <c r="F25" s="16" t="n">
        <v>0.05</v>
      </c>
      <c r="G25" s="16" t="n">
        <v>0.22</v>
      </c>
      <c r="H25" s="17">
        <f>CHOOSE($C$4,E25,F25,G25)</f>
        <v/>
      </c>
      <c r="I25" s="18" t="inlineStr">
        <is>
          <t>Colocation +133% in FY26 off a small base; Asia Index/S&amp;P BSE licensing.</t>
        </is>
      </c>
    </row>
    <row r="26">
      <c r="A26" s="15" t="inlineStr">
        <is>
          <t>Other operating income growth (%)</t>
        </is>
      </c>
      <c r="E26" s="16" t="n">
        <v>0.1</v>
      </c>
      <c r="F26" s="16" t="n">
        <v>0</v>
      </c>
      <c r="G26" s="16" t="n">
        <v>0.15</v>
      </c>
      <c r="H26" s="17">
        <f>CHOOSE($C$4,E26,F26,G26)</f>
        <v/>
      </c>
      <c r="I26" s="18" t="inlineStr">
        <is>
          <t>Residual other operating income.</t>
        </is>
      </c>
    </row>
    <row r="27">
      <c r="A27" s="15" t="inlineStr">
        <is>
          <t>Currency derivatives txn charges (Rs cr)</t>
        </is>
      </c>
      <c r="D27" s="25" t="n">
        <v>0</v>
      </c>
      <c r="E27" s="25" t="n">
        <v>0</v>
      </c>
      <c r="F27" s="25" t="n">
        <v>0</v>
      </c>
      <c r="G27" s="25" t="n">
        <v>0</v>
      </c>
      <c r="H27" s="26">
        <f>CHOOSE($C$4,E27,F27,G27)</f>
        <v/>
      </c>
      <c r="I27" s="18" t="inlineStr">
        <is>
          <t>EXTINGUISHED. RBI's 5-Jan-2024 directions took currency-derivatives ADT from Rs9,734cr to NIL. Two of five derivative segments extinguished in four years. Kept as an explicit line at zero.</t>
        </is>
      </c>
    </row>
    <row r="28">
      <c r="A28" s="15" t="inlineStr">
        <is>
          <t>SLB (securities lending) txn charges (Rs cr)</t>
        </is>
      </c>
      <c r="D28" s="25" t="n">
        <v>0</v>
      </c>
      <c r="E28" s="25" t="n">
        <v>0</v>
      </c>
      <c r="F28" s="25" t="n">
        <v>0</v>
      </c>
      <c r="G28" s="25" t="n">
        <v>0</v>
      </c>
      <c r="H28" s="26">
        <f>CHOOSE($C$4,E28,F28,G28)</f>
        <v/>
      </c>
      <c r="I28" s="18" t="inlineStr">
        <is>
          <t>NOT-DISCLOSED separately -&gt; AR audited Note 22. Immaterial; explicit zero.</t>
        </is>
      </c>
    </row>
    <row r="29">
      <c r="A29" s="15" t="inlineStr">
        <is>
          <t>Other regulatory &amp; sundry expense (Rs cr)</t>
        </is>
      </c>
      <c r="D29" s="25" t="n">
        <v>77.97</v>
      </c>
      <c r="E29" s="25" t="n">
        <v>77.97</v>
      </c>
      <c r="F29" s="25" t="n">
        <v>85</v>
      </c>
      <c r="G29" s="25" t="n">
        <v>70</v>
      </c>
      <c r="H29" s="26">
        <f>CHOOSE($C$4,E29,F29,G29)</f>
        <v/>
      </c>
      <c r="I29" s="18" t="inlineStr">
        <is>
          <t>RECONCILIATION LINE. Bridges the component build to reported total expenses of Rs1,837.42cr. Exists because the MD&amp;A 'regulatory contribution' caption (Rs649.69cr) and the audited expense lines group the SEBI fee and Core SGF differently. Ties FY26 exactly; held flat forward.</t>
        </is>
      </c>
    </row>
    <row r="30">
      <c r="A30" s="15" t="inlineStr">
        <is>
          <t>PAT attributable / PAT total (x)</t>
        </is>
      </c>
      <c r="D30" s="27" t="n">
        <v>1.0039</v>
      </c>
      <c r="E30" s="27" t="n">
        <v>1.0039</v>
      </c>
      <c r="F30" s="27" t="n">
        <v>1.0039</v>
      </c>
      <c r="G30" s="27" t="n">
        <v>1.0039</v>
      </c>
      <c r="H30" s="28">
        <f>CHOOSE($C$4,E30,F30,G30)</f>
        <v/>
      </c>
      <c r="I30" s="18" t="inlineStr">
        <is>
          <t>FY26 2,496.98/2,487.25 = 1.0039 — non-controlling interests are marginally loss-making.</t>
        </is>
      </c>
    </row>
    <row r="31">
      <c r="A31" s="15" t="inlineStr">
        <is>
          <t>Profit from discontinued operations (Rs cr)</t>
        </is>
      </c>
      <c r="D31" s="25" t="n">
        <v>11.95</v>
      </c>
      <c r="E31" s="25" t="n">
        <v>0</v>
      </c>
      <c r="F31" s="25" t="n">
        <v>0</v>
      </c>
      <c r="G31" s="25" t="n">
        <v>0</v>
      </c>
      <c r="H31" s="26">
        <f>CHOOSE($C$4,E31,F31,G31)</f>
        <v/>
      </c>
      <c r="I31" s="18" t="inlineStr">
        <is>
          <t>FY26 Rs11.95cr (Rs1,195 lakh). Explains the PBT-less-tax vs reported-PAT gap exactly. Nil projected — it is by definition non-recurring.</t>
        </is>
      </c>
    </row>
    <row r="32">
      <c r="A32" s="15" t="inlineStr">
        <is>
          <t>Audited-vs-MD&amp;A transaction revenue uplift (x)</t>
        </is>
      </c>
      <c r="D32" s="27" t="n">
        <v>1.0342</v>
      </c>
      <c r="E32" s="27" t="n">
        <v>1.0342</v>
      </c>
      <c r="F32" s="27" t="n">
        <v>1.0342</v>
      </c>
      <c r="G32" s="27" t="n">
        <v>1.0342</v>
      </c>
      <c r="H32" s="28">
        <f>CHOOSE($C$4,E32,F32,G32)</f>
        <v/>
      </c>
      <c r="I32" s="18" t="inlineStr">
        <is>
          <t>The audited transaction-charges line is Rs3,794.99cr against the MD&amp;A build of Rs3,669.48cr (3,794.99/3,669.48 = 1.0342). The Core SGF policy rate applies to the AUDITED base, so the build is grossed up. This gap exists because the product split is unaudited.</t>
        </is>
      </c>
    </row>
    <row r="33">
      <c r="A33" s="13" t="inlineStr">
        <is>
          <t>TREASURY — own corpus vs earmarked float (kept separate)</t>
        </is>
      </c>
      <c r="B33" s="14" t="n"/>
      <c r="C33" s="14" t="n"/>
      <c r="D33" s="14" t="n"/>
      <c r="E33" s="14" t="n"/>
      <c r="F33" s="14" t="n"/>
      <c r="G33" s="14" t="n"/>
      <c r="H33" s="14" t="n"/>
      <c r="I33" s="14" t="n"/>
    </row>
    <row r="34">
      <c r="A34" s="15" t="inlineStr">
        <is>
          <t>Own investible corpus growth (%)</t>
        </is>
      </c>
      <c r="E34" s="16" t="n">
        <v>0.15</v>
      </c>
      <c r="F34" s="16" t="n">
        <v>0.05</v>
      </c>
      <c r="G34" s="16" t="n">
        <v>0.2</v>
      </c>
      <c r="H34" s="17">
        <f>CHOOSE($C$4,E34,F34,G34)</f>
        <v/>
      </c>
      <c r="I34" s="18" t="inlineStr">
        <is>
          <t>Own corpus closing FY26 Rs6,101.90cr (+66.3%). This is SHAREHOLDERS' money.</t>
        </is>
      </c>
    </row>
    <row r="35">
      <c r="A35" s="15" t="inlineStr">
        <is>
          <t>Own-corpus yield (%)</t>
        </is>
      </c>
      <c r="C35" s="16" t="n">
        <v>0.075</v>
      </c>
      <c r="D35" s="16" t="n">
        <v>0.05942</v>
      </c>
      <c r="E35" s="16" t="n">
        <v>0.05942</v>
      </c>
      <c r="F35" s="16" t="n">
        <v>0.05</v>
      </c>
      <c r="G35" s="16" t="n">
        <v>0.065</v>
      </c>
      <c r="H35" s="17">
        <f>CHOOSE($C$4,E35,F35,G35)</f>
        <v/>
      </c>
      <c r="I35" s="18" t="inlineStr">
        <is>
          <t>Yield FELL 7.500% -&gt; 5.942%, -156bp/-20.8%. Held at the FY26 realised level in base.</t>
        </is>
      </c>
    </row>
    <row r="36">
      <c r="A36" s="15" t="inlineStr">
        <is>
          <t>Earmarked clearing float growth (%)</t>
        </is>
      </c>
      <c r="E36" s="16" t="n">
        <v>0.05</v>
      </c>
      <c r="F36" s="16" t="n">
        <v>-0.1</v>
      </c>
      <c r="G36" s="16" t="n">
        <v>0.1</v>
      </c>
      <c r="H36" s="17">
        <f>CHOOSE($C$4,E36,F36,G36)</f>
        <v/>
      </c>
      <c r="I36" s="18" t="inlineStr">
        <is>
          <t>Clearing/settlement float Rs3,554cr FY26. NOT owner cash — excluded from equity value.</t>
        </is>
      </c>
    </row>
    <row r="37">
      <c r="A37" s="15" t="inlineStr">
        <is>
          <t>Float yield (%)</t>
        </is>
      </c>
      <c r="C37" s="16" t="n">
        <v>0.06320000000000001</v>
      </c>
      <c r="D37" s="16" t="n">
        <v>0.0499</v>
      </c>
      <c r="E37" s="16" t="n">
        <v>0.0499</v>
      </c>
      <c r="F37" s="16" t="n">
        <v>0.04</v>
      </c>
      <c r="G37" s="16" t="n">
        <v>0.06</v>
      </c>
      <c r="H37" s="17">
        <f>CHOOSE($C$4,E37,F37,G37)</f>
        <v/>
      </c>
      <c r="I37" s="18" t="inlineStr">
        <is>
          <t>Treasury on clearing float 6.32% -&gt; 4.99%, -21.0%.</t>
        </is>
      </c>
    </row>
    <row r="38">
      <c r="A38" s="13" t="inlineStr">
        <is>
          <t>OPERATING COSTS</t>
        </is>
      </c>
      <c r="B38" s="14" t="n"/>
      <c r="C38" s="14" t="n"/>
      <c r="D38" s="14" t="n"/>
      <c r="E38" s="14" t="n"/>
      <c r="F38" s="14" t="n"/>
      <c r="G38" s="14" t="n"/>
      <c r="H38" s="14" t="n"/>
      <c r="I38" s="14" t="n"/>
    </row>
    <row r="39">
      <c r="A39" s="15" t="inlineStr">
        <is>
          <t>Employee cost growth (%)</t>
        </is>
      </c>
      <c r="E39" s="16" t="n">
        <v>0.12</v>
      </c>
      <c r="F39" s="16" t="n">
        <v>0.1</v>
      </c>
      <c r="G39" s="16" t="n">
        <v>0.14</v>
      </c>
      <c r="H39" s="17">
        <f>CHOOSE($C$4,E39,F39,G39)</f>
        <v/>
      </c>
      <c r="I39" s="18" t="inlineStr">
        <is>
          <t>FY26 +26% (incl Rs13.01cr non-recurring gratuity past-service cost).</t>
        </is>
      </c>
    </row>
    <row r="40">
      <c r="A40" s="15" t="inlineStr">
        <is>
          <t>Technology cost growth (%)</t>
        </is>
      </c>
      <c r="E40" s="16" t="n">
        <v>0.15</v>
      </c>
      <c r="F40" s="16" t="n">
        <v>0.12</v>
      </c>
      <c r="G40" s="16" t="n">
        <v>0.18</v>
      </c>
      <c r="H40" s="17">
        <f>CHOOSE($C$4,E40,F40,G40)</f>
        <v/>
      </c>
      <c r="I40" s="18" t="inlineStr">
        <is>
          <t>FY26 +24%. Data-centre and platform build.</t>
        </is>
      </c>
    </row>
    <row r="41">
      <c r="A41" s="15" t="inlineStr">
        <is>
          <t>Other admin cost growth (%)</t>
        </is>
      </c>
      <c r="E41" s="16" t="n">
        <v>0.09</v>
      </c>
      <c r="F41" s="16" t="n">
        <v>0.08</v>
      </c>
      <c r="G41" s="16" t="n">
        <v>0.1</v>
      </c>
      <c r="H41" s="17">
        <f>CHOOSE($C$4,E41,F41,G41)</f>
        <v/>
      </c>
      <c r="I41" s="18" t="inlineStr">
        <is>
          <t>Other administrative expenses.</t>
        </is>
      </c>
    </row>
    <row r="42">
      <c r="A42" s="15" t="inlineStr">
        <is>
          <t>Cost-floor switch (1 = ON, 0 = OFF)</t>
        </is>
      </c>
      <c r="E42" s="29" t="n">
        <v>1</v>
      </c>
      <c r="F42" s="29" t="n">
        <v>1</v>
      </c>
      <c r="G42" s="29" t="n">
        <v>1</v>
      </c>
      <c r="H42" s="30">
        <f>CHOOSE($C$4,E42,F42,G42)</f>
        <v/>
      </c>
      <c r="I42" s="18" t="inlineStr">
        <is>
          <t>W7_bearcase: the ex-levy cost floor Rs1,187.73cr 'has never contracted in a down year'. ON means controllable opex cannot fall below the inflated floor however far revenue falls.</t>
        </is>
      </c>
    </row>
    <row r="43">
      <c r="A43" s="15" t="inlineStr">
        <is>
          <t>Cost-floor inflation (%)</t>
        </is>
      </c>
      <c r="E43" s="16" t="n">
        <v>0.06</v>
      </c>
      <c r="F43" s="16" t="n">
        <v>0.06</v>
      </c>
      <c r="G43" s="16" t="n">
        <v>0.06</v>
      </c>
      <c r="H43" s="17">
        <f>CHOOSE($C$4,E43,F43,G43)</f>
        <v/>
      </c>
      <c r="I43" s="18" t="inlineStr">
        <is>
          <t>Applied to the Rs1,187.73cr FY26 ex-levy floor.</t>
        </is>
      </c>
    </row>
    <row r="44">
      <c r="A44" s="15" t="inlineStr">
        <is>
          <t>Core SGF mode (1 = as charged, 2 = announced policy)</t>
        </is>
      </c>
      <c r="E44" s="29" t="n">
        <v>2</v>
      </c>
      <c r="F44" s="29" t="n">
        <v>2</v>
      </c>
      <c r="G44" s="29" t="n">
        <v>1</v>
      </c>
      <c r="H44" s="30">
        <f>CHOOSE($C$4,E44,F44,G44)</f>
        <v/>
      </c>
      <c r="I44" s="18" t="inlineStr">
        <is>
          <t>Policy = 5% of transaction revenue = Rs189.75cr vs Rs76.96cr charged (2.47x). Q1FY27 already annualises at Rs103.64cr. Counter-cyclical: rises with volatility.</t>
        </is>
      </c>
    </row>
    <row r="45">
      <c r="A45" s="15" t="inlineStr">
        <is>
          <t>Core SGF policy rate (% of txn revenue)</t>
        </is>
      </c>
      <c r="E45" s="16" t="n">
        <v>0.05</v>
      </c>
      <c r="F45" s="16" t="n">
        <v>0.05</v>
      </c>
      <c r="G45" s="16" t="n">
        <v>0.05</v>
      </c>
      <c r="H45" s="17">
        <f>CHOOSE($C$4,E45,F45,G45)</f>
        <v/>
      </c>
      <c r="I45" s="18" t="inlineStr">
        <is>
          <t>Announced 5% monthly, capped 150% of minimum. Source is a CONCALL only — NOT in the FY26 annual report. [Q2FY26 Concall 17Nov2025, MD]</t>
        </is>
      </c>
    </row>
    <row r="46">
      <c r="A46" s="13" t="inlineStr">
        <is>
          <t>BELOW-THE-LINE, CAPEX, WORKING CAPITAL, TAX</t>
        </is>
      </c>
      <c r="B46" s="14" t="n"/>
      <c r="C46" s="14" t="n"/>
      <c r="D46" s="14" t="n"/>
      <c r="E46" s="14" t="n"/>
      <c r="F46" s="14" t="n"/>
      <c r="G46" s="14" t="n"/>
      <c r="H46" s="14" t="n"/>
      <c r="I46" s="14" t="n"/>
    </row>
    <row r="47">
      <c r="A47" s="15" t="inlineStr">
        <is>
          <t>Associate (CDSL) profit (Rs cr)</t>
        </is>
      </c>
      <c r="B47" s="25" t="n">
        <v>71.81999999999999</v>
      </c>
      <c r="C47" s="25" t="n">
        <v>82.59</v>
      </c>
      <c r="D47" s="25" t="n">
        <v>65.42</v>
      </c>
      <c r="E47" s="25" t="n">
        <v>65.42</v>
      </c>
      <c r="F47" s="25" t="n">
        <v>55</v>
      </c>
      <c r="G47" s="25" t="n">
        <v>75</v>
      </c>
      <c r="H47" s="26">
        <f>CHOOSE($C$4,E47,F47,G47)</f>
        <v/>
      </c>
      <c r="I47" s="18" t="inlineStr">
        <is>
          <t>FY26 contribution FELL 13.4%. SEBI caps the stake at 15% so it CANNOT be increased — BSE is a forced holder. Held flat in base, not grown.</t>
        </is>
      </c>
    </row>
    <row r="48">
      <c r="A48" s="15" t="inlineStr">
        <is>
          <t>Other income (Rs cr)</t>
        </is>
      </c>
      <c r="D48" s="25" t="n">
        <v>23.85</v>
      </c>
      <c r="E48" s="25" t="n">
        <v>23.85</v>
      </c>
      <c r="F48" s="25" t="n">
        <v>20</v>
      </c>
      <c r="G48" s="25" t="n">
        <v>28</v>
      </c>
      <c r="H48" s="26">
        <f>CHOOSE($C$4,E48,F48,G48)</f>
        <v/>
      </c>
      <c r="I48" s="18" t="inlineStr">
        <is>
          <t>Small; held near the FY26 level.</t>
        </is>
      </c>
    </row>
    <row r="49">
      <c r="A49" s="15" t="inlineStr">
        <is>
          <t>Finance cost (Rs cr)</t>
        </is>
      </c>
      <c r="D49" s="25" t="n">
        <v>0.16</v>
      </c>
      <c r="E49" s="25" t="n">
        <v>0.2</v>
      </c>
      <c r="F49" s="25" t="n">
        <v>0.5</v>
      </c>
      <c r="G49" s="25" t="n">
        <v>0.1</v>
      </c>
      <c r="H49" s="26">
        <f>CHOOSE($C$4,E49,F49,G49)</f>
        <v/>
      </c>
      <c r="I49" s="18" t="inlineStr">
        <is>
          <t>BSE is effectively debt-free.</t>
        </is>
      </c>
    </row>
    <row r="50">
      <c r="A50" s="15" t="inlineStr">
        <is>
          <t>Exceptional items (Rs cr)</t>
        </is>
      </c>
      <c r="D50" s="25" t="n">
        <v>0</v>
      </c>
      <c r="E50" s="25" t="n">
        <v>0</v>
      </c>
      <c r="F50" s="25" t="n">
        <v>0</v>
      </c>
      <c r="G50" s="25" t="n">
        <v>0</v>
      </c>
      <c r="H50" s="26">
        <f>CHOOSE($C$4,E50,F50,G50)</f>
        <v/>
      </c>
      <c r="I50" s="18" t="inlineStr">
        <is>
          <t>Non-recurring; nil projected. FY24 had Rs406.62cr (CDSL-related).</t>
        </is>
      </c>
    </row>
    <row r="51">
      <c r="A51" s="15" t="inlineStr">
        <is>
          <t>Capex (% of revenue from operations)</t>
        </is>
      </c>
      <c r="E51" s="16" t="n">
        <v>0.07000000000000001</v>
      </c>
      <c r="F51" s="16" t="n">
        <v>0.05</v>
      </c>
      <c r="G51" s="16" t="n">
        <v>0.08</v>
      </c>
      <c r="H51" s="17">
        <f>CHOOSE($C$4,E51,F51,G51)</f>
        <v/>
      </c>
      <c r="I51" s="18" t="inlineStr">
        <is>
          <t>FY26 capex Rs515.16cr = 10.7% of revenue (elevated: data-centre). Normalised lower.</t>
        </is>
      </c>
    </row>
    <row r="52">
      <c r="A52" s="15" t="inlineStr">
        <is>
          <t>D&amp;A (% of opening net block)</t>
        </is>
      </c>
      <c r="E52" s="16" t="n">
        <v>0.22</v>
      </c>
      <c r="F52" s="16" t="n">
        <v>0.22</v>
      </c>
      <c r="G52" s="16" t="n">
        <v>0.22</v>
      </c>
      <c r="H52" s="17">
        <f>CHOOSE($C$4,E52,F52,G52)</f>
        <v/>
      </c>
      <c r="I52" s="18" t="inlineStr">
        <is>
          <t>FY26 D&amp;A Rs158.96cr on opening net block Rs262.90cr. Forward floor includes ~Rs12.12cr already committed from FY26 additions.</t>
        </is>
      </c>
    </row>
    <row r="53">
      <c r="A53" s="15" t="inlineStr">
        <is>
          <t>Receivable days (on revenue)</t>
        </is>
      </c>
      <c r="E53" s="29" t="n">
        <v>42</v>
      </c>
      <c r="F53" s="29" t="n">
        <v>55</v>
      </c>
      <c r="G53" s="29" t="n">
        <v>38</v>
      </c>
      <c r="H53" s="30">
        <f>CHOOSE($C$4,E53,F53,G53)</f>
        <v/>
      </c>
      <c r="I53" s="18" t="inlineStr">
        <is>
          <t>FY26 receivables Rs553.16cr / revenue Rs4,833.95cr = 41.8 days.</t>
        </is>
      </c>
    </row>
    <row r="54">
      <c r="A54" s="15" t="inlineStr">
        <is>
          <t>Own payables (% of controllable opex)</t>
        </is>
      </c>
      <c r="E54" s="16" t="n">
        <v>0.35</v>
      </c>
      <c r="F54" s="16" t="n">
        <v>0.35</v>
      </c>
      <c r="G54" s="16" t="n">
        <v>0.35</v>
      </c>
      <c r="H54" s="17">
        <f>CHOOSE($C$4,E54,F54,G54)</f>
        <v/>
      </c>
      <c r="I54" s="18" t="inlineStr">
        <is>
          <t>Own-account payables driven off cost base, NOT off revenue (v1 error).</t>
        </is>
      </c>
    </row>
    <row r="55">
      <c r="A55" s="15" t="inlineStr">
        <is>
          <t>Effective tax rate (%)</t>
        </is>
      </c>
      <c r="E55" s="16" t="n">
        <v>0.25</v>
      </c>
      <c r="F55" s="16" t="n">
        <v>0.25</v>
      </c>
      <c r="G55" s="16" t="n">
        <v>0.25</v>
      </c>
      <c r="H55" s="17">
        <f>CHOOSE($C$4,E55,F55,G55)</f>
        <v/>
      </c>
      <c r="I55" s="18" t="inlineStr">
        <is>
          <t>FY26 823.84/3,299.14 = 24.97%.</t>
        </is>
      </c>
    </row>
    <row r="56">
      <c r="A56" s="15" t="inlineStr">
        <is>
          <t>Dividend payout (% of PAT attributable)</t>
        </is>
      </c>
      <c r="E56" s="16" t="n">
        <v>0.13</v>
      </c>
      <c r="F56" s="16" t="n">
        <v>0.13</v>
      </c>
      <c r="G56" s="16" t="n">
        <v>0.13</v>
      </c>
      <c r="H56" s="17">
        <f>CHOOSE($C$4,E56,F56,G56)</f>
        <v/>
      </c>
      <c r="I56" s="18" t="inlineStr">
        <is>
          <t>FY26 dividend Rs315.85cr / PAT attributable Rs2,496.98cr = 12.6%. NO dividend policy exists in ten annual reports; every listed peer publishes one.</t>
        </is>
      </c>
    </row>
    <row r="57">
      <c r="A57" s="13" t="inlineStr">
        <is>
          <t>VALUATION — WACC, terminal, market data</t>
        </is>
      </c>
      <c r="B57" s="14" t="n"/>
      <c r="C57" s="14" t="n"/>
      <c r="D57" s="14" t="n"/>
      <c r="E57" s="14" t="n"/>
      <c r="F57" s="14" t="n"/>
      <c r="G57" s="14" t="n"/>
      <c r="H57" s="14" t="n"/>
      <c r="I57" s="14" t="n"/>
    </row>
    <row r="58">
      <c r="A58" s="15" t="inlineStr">
        <is>
          <t>Risk-free rate (%)</t>
        </is>
      </c>
      <c r="E58" s="16" t="n">
        <v>0.07000000000000001</v>
      </c>
      <c r="F58" s="16" t="n">
        <v>0.075</v>
      </c>
      <c r="G58" s="16" t="n">
        <v>0.065</v>
      </c>
      <c r="H58" s="17">
        <f>CHOOSE($C$4,E58,F58,G58)</f>
        <v/>
      </c>
      <c r="I58" s="18" t="inlineStr">
        <is>
          <t>SECONDARY: 10Y India G-sec.</t>
        </is>
      </c>
    </row>
    <row r="59">
      <c r="A59" s="15" t="inlineStr">
        <is>
          <t>Equity risk premium (%)</t>
        </is>
      </c>
      <c r="E59" s="16" t="n">
        <v>0.06</v>
      </c>
      <c r="F59" s="16" t="n">
        <v>0.07000000000000001</v>
      </c>
      <c r="G59" s="16" t="n">
        <v>0.055</v>
      </c>
      <c r="H59" s="17">
        <f>CHOOSE($C$4,E59,F59,G59)</f>
        <v/>
      </c>
      <c r="I59" s="18" t="inlineStr">
        <is>
          <t>SECONDARY: India ERP.</t>
        </is>
      </c>
    </row>
    <row r="60">
      <c r="A60" s="15" t="inlineStr">
        <is>
          <t>Beta (levered)</t>
        </is>
      </c>
      <c r="E60" s="27" t="n">
        <v>0.95</v>
      </c>
      <c r="F60" s="27" t="n">
        <v>1.15</v>
      </c>
      <c r="G60" s="27" t="n">
        <v>0.85</v>
      </c>
      <c r="H60" s="28">
        <f>CHOOSE($C$4,E60,F60,G60)</f>
        <v/>
      </c>
      <c r="I60" s="18" t="inlineStr">
        <is>
          <t>SECONDARY. Bear beta raised: revenue is one product on one regulator-allocated expiry slot.</t>
        </is>
      </c>
    </row>
    <row r="61">
      <c r="A61" s="15" t="inlineStr">
        <is>
          <t>Pre-tax cost of debt (%)</t>
        </is>
      </c>
      <c r="E61" s="16" t="n">
        <v>0.08</v>
      </c>
      <c r="F61" s="16" t="n">
        <v>0.08</v>
      </c>
      <c r="G61" s="16" t="n">
        <v>0.08</v>
      </c>
      <c r="H61" s="17">
        <f>CHOOSE($C$4,E61,F61,G61)</f>
        <v/>
      </c>
      <c r="I61" s="18" t="inlineStr">
        <is>
          <t>Nominal; BSE carries effectively no debt.</t>
        </is>
      </c>
    </row>
    <row r="62">
      <c r="A62" s="15" t="inlineStr">
        <is>
          <t>Target weight — equity (%)</t>
        </is>
      </c>
      <c r="E62" s="16" t="n">
        <v>1</v>
      </c>
      <c r="F62" s="16" t="n">
        <v>1</v>
      </c>
      <c r="G62" s="16" t="n">
        <v>1</v>
      </c>
      <c r="H62" s="17">
        <f>CHOOSE($C$4,E62,F62,G62)</f>
        <v/>
      </c>
      <c r="I62" s="18" t="inlineStr">
        <is>
          <t>~100% equity funded.</t>
        </is>
      </c>
    </row>
    <row r="63">
      <c r="A63" s="15" t="inlineStr">
        <is>
          <t>Terminal growth (%)</t>
        </is>
      </c>
      <c r="E63" s="16" t="n">
        <v>0.04</v>
      </c>
      <c r="F63" s="16" t="n">
        <v>0.03</v>
      </c>
      <c r="G63" s="16" t="n">
        <v>0.05</v>
      </c>
      <c r="H63" s="17">
        <f>CHOOSE($C$4,E63,F63,G63)</f>
        <v/>
      </c>
      <c r="I63" s="18" t="inlineStr">
        <is>
          <t>LOWERED from v1's 5%: FY26 is peak-cycle (Q1FY27 revenue +0.16% sequential, 110.1% of the profit increase non-operating) and ~9/10 of FY26 growth was share TRANSFER from NSE, which cannot compound in perpetuity.</t>
        </is>
      </c>
    </row>
    <row r="64">
      <c r="A64" s="15" t="inlineStr">
        <is>
          <t>Terminal value method (1 = Gordon, 2 = H-model fade)</t>
        </is>
      </c>
      <c r="E64" s="29" t="n">
        <v>2</v>
      </c>
      <c r="F64" s="29" t="n">
        <v>1</v>
      </c>
      <c r="G64" s="29" t="n">
        <v>2</v>
      </c>
      <c r="H64" s="30">
        <f>CHOOSE($C$4,E64,F64,G64)</f>
        <v/>
      </c>
      <c r="I64" s="18" t="inlineStr">
        <is>
          <t>A 3-year explicit window with immediate perpetuity understates a company moving from +63% growth to maturity. Method 2 fades growth from g_fade to terminal g over the fade period.</t>
        </is>
      </c>
    </row>
    <row r="65">
      <c r="A65" s="15" t="inlineStr">
        <is>
          <t>Growth immediately after explicit period (%)</t>
        </is>
      </c>
      <c r="E65" s="16" t="n">
        <v>0.12</v>
      </c>
      <c r="F65" s="16" t="n">
        <v>0.04</v>
      </c>
      <c r="G65" s="16" t="n">
        <v>0.2</v>
      </c>
      <c r="H65" s="17">
        <f>CHOOSE($C$4,E65,F65,G65)</f>
        <v/>
      </c>
      <c r="I65" s="18" t="inlineStr">
        <is>
          <t>Starting point of the fade. Base 12% is below FY26's +63% and above the terminal 4%.</t>
        </is>
      </c>
    </row>
    <row r="66">
      <c r="A66" s="15" t="inlineStr">
        <is>
          <t>Fade period (years)</t>
        </is>
      </c>
      <c r="E66" s="29" t="n">
        <v>10</v>
      </c>
      <c r="F66" s="29" t="n">
        <v>5</v>
      </c>
      <c r="G66" s="29" t="n">
        <v>12</v>
      </c>
      <c r="H66" s="30">
        <f>CHOOSE($C$4,E66,F66,G66)</f>
        <v/>
      </c>
      <c r="I66" s="18" t="inlineStr">
        <is>
          <t>H-model half-life = fade_years / 2. Longer fade = more value attributed to the transition.</t>
        </is>
      </c>
    </row>
    <row r="67">
      <c r="A67" s="15" t="inlineStr">
        <is>
          <t>Two-exchange premium pool growth (%)</t>
        </is>
      </c>
      <c r="E67" s="16" t="n">
        <v>0.0646</v>
      </c>
      <c r="F67" s="16" t="n">
        <v>0</v>
      </c>
      <c r="G67" s="16" t="n">
        <v>0.12</v>
      </c>
      <c r="H67" s="17">
        <f>CHOOSE($C$4,E67,F67,G67)</f>
        <v/>
      </c>
      <c r="I67" s="18" t="inlineStr">
        <is>
          <t>FY26 pool grew only 6.46% while BSE's share went 14.44% -&gt; 21.58%. Used in Checks to print the IMPLIED terminal market share.</t>
        </is>
      </c>
    </row>
    <row r="68">
      <c r="A68" s="15" t="inlineStr">
        <is>
          <t>CDSL stake MARKET value (Rs cr)</t>
        </is>
      </c>
      <c r="D68" s="25" t="n">
        <v>3509.32</v>
      </c>
      <c r="E68" s="25" t="n">
        <v>3509.32</v>
      </c>
      <c r="F68" s="25" t="n">
        <v>3509.32</v>
      </c>
      <c r="G68" s="25" t="n">
        <v>3509.32</v>
      </c>
      <c r="H68" s="26">
        <f>CHOOSE($C$4,E68,F68,G68)</f>
        <v/>
      </c>
      <c r="I68" s="18" t="inlineStr">
        <is>
          <t>Rs3,50,932 lakh [AR FY26, Note 8]. EVIDENCED — an earlier draft wrongly called this unverified. Used ONLY when cdsl_mode = 2.</t>
        </is>
      </c>
    </row>
    <row r="69">
      <c r="A69" s="15" t="inlineStr">
        <is>
          <t>CDSL treatment (1 = equity earnings, 2 = market value)</t>
        </is>
      </c>
      <c r="E69" s="29" t="n">
        <v>1</v>
      </c>
      <c r="F69" s="29" t="n">
        <v>1</v>
      </c>
      <c r="G69" s="29" t="n">
        <v>2</v>
      </c>
      <c r="H69" s="30">
        <f>CHOOSE($C$4,E69,F69,G69)</f>
        <v/>
      </c>
      <c r="I69" s="18" t="inlineStr">
        <is>
          <t>W5 constraint 4: market value OR earnings, NEVER both. Mode 1 keeps the associate profit in PBT and values the stake at nil. Mode 2 strips the associate profit and adds the market value in the bridge. Switching modes must never do both.</t>
        </is>
      </c>
    </row>
    <row r="70">
      <c r="A70" s="15" t="inlineStr">
        <is>
          <t>BSE share price (Rs)</t>
        </is>
      </c>
      <c r="D70" s="27" t="n">
        <v>3409.8</v>
      </c>
      <c r="E70" s="27" t="n">
        <v>3409.8</v>
      </c>
      <c r="F70" s="27" t="n">
        <v>3409.8</v>
      </c>
      <c r="G70" s="27" t="n">
        <v>3409.8</v>
      </c>
      <c r="H70" s="28">
        <f>CHOOSE($C$4,E70,F70,G70)</f>
        <v/>
      </c>
      <c r="I70" s="18" t="inlineStr">
        <is>
          <t>NSE Bhavcopy close 4-Sep-2026.</t>
        </is>
      </c>
    </row>
    <row r="71">
      <c r="A71" s="15" t="inlineStr">
        <is>
          <t>Shares PAID-UP (cr) — for market cap</t>
        </is>
      </c>
      <c r="D71" s="27" t="n">
        <v>40.7884</v>
      </c>
      <c r="E71" s="27" t="n">
        <v>40.7884</v>
      </c>
      <c r="F71" s="27" t="n">
        <v>40.7884</v>
      </c>
      <c r="G71" s="27" t="n">
        <v>40.7884</v>
      </c>
      <c r="H71" s="28">
        <f>CHOOSE($C$4,E71,F71,G71)</f>
        <v/>
      </c>
      <c r="I71" s="18" t="inlineStr">
        <is>
          <t>Paid-up 40,78,84,077. Used for MARKET CAP and for value-per-share.</t>
        </is>
      </c>
    </row>
    <row r="72">
      <c r="A72" s="15" t="inlineStr">
        <is>
          <t>Shares ISSUED (cr) — for EPS</t>
        </is>
      </c>
      <c r="D72" s="27" t="n">
        <v>41.1979</v>
      </c>
      <c r="E72" s="27" t="n">
        <v>41.1979</v>
      </c>
      <c r="F72" s="27" t="n">
        <v>41.1979</v>
      </c>
      <c r="G72" s="27" t="n">
        <v>41.1979</v>
      </c>
      <c r="H72" s="28">
        <f>CHOOSE($C$4,E72,F72,G72)</f>
        <v/>
      </c>
      <c r="I72" s="18" t="inlineStr">
        <is>
          <t>Issued 41,19,79,077. The 40,95,000 difference is 2005 demutualisation shares held in abeyance. EPS MUST use issued: 2,496.98/41.1979 = Rs60.61 (audited). An earlier draft divided by paid-up and wrongly printed Rs61.22.</t>
        </is>
      </c>
    </row>
    <row r="73">
      <c r="A73" s="15" t="inlineStr">
        <is>
          <t>Recurring share of investment income (%)</t>
        </is>
      </c>
      <c r="E73" s="16" t="n">
        <v>0.6943</v>
      </c>
      <c r="F73" s="16" t="n">
        <v>0.6943</v>
      </c>
      <c r="G73" s="16" t="n">
        <v>0.6943</v>
      </c>
      <c r="H73" s="17">
        <f>CHOOSE($C$4,E73,F73,G73)</f>
        <v/>
      </c>
      <c r="I73" s="18" t="inlineStr">
        <is>
          <t>W5: ~30.57% of investment income is MARK-TO-MARKET revaluation, 'not a yield and should not carry an operating multiple'. Recurring share = 1 - 0.3057 = 69.43%.</t>
        </is>
      </c>
    </row>
    <row r="74">
      <c r="A74" s="15" t="inlineStr">
        <is>
          <t>Strip float income from operating EBIT (1 = yes)</t>
        </is>
      </c>
      <c r="E74" s="29" t="n">
        <v>1</v>
      </c>
      <c r="F74" s="29" t="n">
        <v>1</v>
      </c>
      <c r="G74" s="29" t="n">
        <v>1</v>
      </c>
      <c r="H74" s="30">
        <f>CHOOSE($C$4,E74,F74,G74)</f>
        <v/>
      </c>
      <c r="I74" s="18" t="inlineStr">
        <is>
          <t>Rs171.42cr of FY26 revenue is interest earned on MEMBERS' clearing float at 4.99%, credited to shareholders as revenue. It is not customer income, so it is removed from the FCFF base by default.</t>
        </is>
      </c>
    </row>
  </sheetData>
  <mergeCells count="3">
    <mergeCell ref="A1:I1"/>
    <mergeCell ref="A3:I3"/>
    <mergeCell ref="A2:I2"/>
  </mergeCells>
  <pageMargins left="0.75" right="0.75" top="1" bottom="1" header="0.5" footer="0.5"/>
</worksheet>
</file>

<file path=xl/worksheets/sheet2.xml><?xml version="1.0" encoding="utf-8"?>
<worksheet xmlns="http://schemas.openxmlformats.org/spreadsheetml/2006/main">
  <sheetPr>
    <tabColor rgb="FF00B0F0"/>
    <outlinePr summaryBelow="1" summaryRight="1"/>
    <pageSetUpPr/>
  </sheetPr>
  <dimension ref="A1:M3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56" customWidth="1" min="8" max="8"/>
  </cols>
  <sheetData>
    <row r="1" ht="24" customHeight="1">
      <c r="A1" s="1" t="inlineStr">
        <is>
          <t>BSE Ltd — Driver Series (the three exogenous variables)</t>
        </is>
      </c>
      <c r="B1" s="2" t="n"/>
      <c r="C1" s="2" t="n"/>
      <c r="D1" s="2" t="n"/>
      <c r="E1" s="2" t="n"/>
      <c r="F1" s="2" t="n"/>
      <c r="G1" s="2" t="n"/>
      <c r="H1" s="2" t="n"/>
    </row>
    <row r="2">
      <c r="A2" s="3" t="inlineStr">
        <is>
          <t>Management: 'the SEBI turnover fee is based on the notional trading, the clearing expense is based on the number of contracts, and we earn revenue based on premium'. Those are three different series and they diverge — FY26 revenue +63.46%, notional +69.12%, contracts -6.53%.</t>
        </is>
      </c>
    </row>
    <row r="3">
      <c r="A3" s="4" t="inlineStr">
        <is>
          <t>ADT figures in Rs crore. Historical actuals in blue. Projections reference Assumptions ACTIVE column.</t>
        </is>
      </c>
    </row>
    <row r="4">
      <c r="B4" s="31" t="inlineStr">
        <is>
          <t>Actual</t>
        </is>
      </c>
      <c r="E4" s="32" t="inlineStr">
        <is>
          <t>Projected</t>
        </is>
      </c>
    </row>
    <row r="5">
      <c r="A5" s="5" t="inlineStr">
        <is>
          <t>Rs Crore / as marked</t>
        </is>
      </c>
      <c r="B5" s="33" t="inlineStr">
        <is>
          <t>FY24</t>
        </is>
      </c>
      <c r="C5" s="33" t="inlineStr">
        <is>
          <t>FY25</t>
        </is>
      </c>
      <c r="D5" s="33" t="inlineStr">
        <is>
          <t>FY26</t>
        </is>
      </c>
      <c r="E5" s="34" t="inlineStr">
        <is>
          <t>FY27E</t>
        </is>
      </c>
      <c r="F5" s="34" t="inlineStr">
        <is>
          <t>FY28E</t>
        </is>
      </c>
      <c r="G5" s="34" t="inlineStr">
        <is>
          <t>FY29E</t>
        </is>
      </c>
      <c r="H5" s="5" t="inlineStr">
        <is>
          <t>Source / formula basis</t>
        </is>
      </c>
    </row>
    <row r="6">
      <c r="A6" s="13" t="inlineStr">
        <is>
          <t>DRIVER 1 — index-options PREMIUM ADT (revenue base)</t>
        </is>
      </c>
      <c r="B6" s="14" t="n"/>
      <c r="C6" s="14" t="n"/>
      <c r="D6" s="14" t="n"/>
      <c r="E6" s="14" t="n"/>
      <c r="F6" s="14" t="n"/>
      <c r="G6" s="14" t="n"/>
      <c r="H6" s="14" t="n"/>
    </row>
    <row r="7">
      <c r="A7" s="35" t="inlineStr">
        <is>
          <t>Premium ADT (Rs cr)</t>
        </is>
      </c>
      <c r="C7" s="36" t="n">
        <v>8978</v>
      </c>
      <c r="D7" s="36" t="n">
        <v>19523</v>
      </c>
      <c r="E7" s="37">
        <f>D7*(1+Assumptions!$H$8)</f>
        <v/>
      </c>
      <c r="F7" s="37">
        <f>E7*(1+Assumptions!$H$9)</f>
        <v/>
      </c>
      <c r="G7" s="37">
        <f>F7*(1+Assumptions!$H$10)</f>
        <v/>
      </c>
      <c r="H7" s="18" t="inlineStr">
        <is>
          <t>FY24 NOT DISCLOSED at this granularity. FY27E-FY29E = prior x (1 + growth) per year.</t>
        </is>
      </c>
    </row>
    <row r="8">
      <c r="A8" s="13" t="inlineStr">
        <is>
          <t>DRIVER 2 — the WEDGE and the NOTIONAL base it implies</t>
        </is>
      </c>
      <c r="B8" s="14" t="n"/>
      <c r="C8" s="14" t="n"/>
      <c r="D8" s="14" t="n"/>
      <c r="E8" s="14" t="n"/>
      <c r="F8" s="14" t="n"/>
      <c r="G8" s="14" t="n"/>
      <c r="H8" s="14" t="n"/>
    </row>
    <row r="9">
      <c r="A9" s="35" t="inlineStr">
        <is>
          <t>Premium / notional ratio</t>
        </is>
      </c>
      <c r="C9" s="38" t="n">
        <v>0.00081126</v>
      </c>
      <c r="D9" s="38" t="n">
        <v>0.00104315</v>
      </c>
      <c r="E9" s="39">
        <f>Assumptions!$H$13</f>
        <v/>
      </c>
      <c r="F9" s="39">
        <f>Assumptions!$H$13</f>
        <v/>
      </c>
      <c r="G9" s="39">
        <f>Assumptions!$H$13</f>
        <v/>
      </c>
      <c r="H9" s="18" t="inlineStr">
        <is>
          <t>THE key variable. Quarterly range 0.091491% - 0.124959% = +/-37% inside eight quarters.</t>
        </is>
      </c>
    </row>
    <row r="10">
      <c r="A10" s="35" t="inlineStr">
        <is>
          <t>Notional ADT (Rs cr)  = premium / wedge</t>
        </is>
      </c>
      <c r="C10" s="40">
        <f>C7/C9</f>
        <v/>
      </c>
      <c r="D10" s="40">
        <f>D7/D9</f>
        <v/>
      </c>
      <c r="E10" s="40">
        <f>E7/E9</f>
        <v/>
      </c>
      <c r="F10" s="40">
        <f>F7/F9</f>
        <v/>
      </c>
      <c r="G10" s="40">
        <f>G7/G9</f>
        <v/>
      </c>
      <c r="H10" s="18" t="inlineStr">
        <is>
          <t>DERIVED. FY26 19,523/0.104315% = 18,715,429 (actual 18,715,375). 958.6x the base BSE bills on.</t>
        </is>
      </c>
    </row>
    <row r="11">
      <c r="A11" s="13" t="inlineStr">
        <is>
          <t>DRIVER 3 — CONTRACT COUNT (clearing-cost base), indexed FY26 = 1.000</t>
        </is>
      </c>
      <c r="B11" s="14" t="n"/>
      <c r="C11" s="14" t="n"/>
      <c r="D11" s="14" t="n"/>
      <c r="E11" s="14" t="n"/>
      <c r="F11" s="14" t="n"/>
      <c r="G11" s="14" t="n"/>
      <c r="H11" s="14" t="n"/>
    </row>
    <row r="12">
      <c r="A12" s="35" t="inlineStr">
        <is>
          <t>Contract count index</t>
        </is>
      </c>
      <c r="C12" s="41" t="n">
        <v>1.0699</v>
      </c>
      <c r="D12" s="41" t="n">
        <v>1</v>
      </c>
      <c r="E12" s="42">
        <f>D12*(1+Assumptions!$H$16)</f>
        <v/>
      </c>
      <c r="F12" s="42">
        <f>E12*(1+Assumptions!$H$16)</f>
        <v/>
      </c>
      <c r="G12" s="42">
        <f>F12*(1+Assumptions!$H$16)</f>
        <v/>
      </c>
      <c r="H12" s="18" t="inlineStr">
        <is>
          <t>Only the CHANGE is disclosed (-6.53% in FY26), not an audited annual count. FY25 index = 1/(1-0.0653) = 1.0699.</t>
        </is>
      </c>
    </row>
    <row r="13">
      <c r="A13" s="13" t="inlineStr">
        <is>
          <t>EQUITY CASH — average daily turnover</t>
        </is>
      </c>
      <c r="B13" s="14" t="n"/>
      <c r="C13" s="14" t="n"/>
      <c r="D13" s="14" t="n"/>
      <c r="E13" s="14" t="n"/>
      <c r="F13" s="14" t="n"/>
      <c r="G13" s="14" t="n"/>
      <c r="H13" s="14" t="n"/>
    </row>
    <row r="14">
      <c r="A14" s="35" t="inlineStr">
        <is>
          <t>Cash ADT (Rs cr)</t>
        </is>
      </c>
      <c r="B14" s="36" t="n">
        <v>6622</v>
      </c>
      <c r="C14" s="36" t="n">
        <v>7766</v>
      </c>
      <c r="D14" s="36" t="n">
        <v>7950</v>
      </c>
      <c r="E14" s="37">
        <f>D14*(1+Assumptions!$H$19)</f>
        <v/>
      </c>
      <c r="F14" s="37">
        <f>E14*(1+Assumptions!$H$19)</f>
        <v/>
      </c>
      <c r="G14" s="37">
        <f>F14*(1+Assumptions!$H$19)</f>
        <v/>
      </c>
      <c r="H14" s="18" t="inlineStr">
        <is>
          <t>Eleven-year series on the Drivers reference block below. Three down-years in ten.</t>
        </is>
      </c>
    </row>
    <row r="15">
      <c r="A15" s="13" t="inlineStr">
        <is>
          <t>TREASURY — own corpus (shareholders') vs earmarked float (members')</t>
        </is>
      </c>
      <c r="B15" s="14" t="n"/>
      <c r="C15" s="14" t="n"/>
      <c r="D15" s="14" t="n"/>
      <c r="E15" s="14" t="n"/>
      <c r="F15" s="14" t="n"/>
      <c r="G15" s="14" t="n"/>
      <c r="H15" s="14" t="n"/>
    </row>
    <row r="16">
      <c r="A16" s="35" t="inlineStr">
        <is>
          <t>Own investible corpus — closing (Rs cr)</t>
        </is>
      </c>
      <c r="C16" s="36" t="n">
        <v>3669.77</v>
      </c>
      <c r="D16" s="36" t="n">
        <v>6101.9</v>
      </c>
      <c r="E16" s="37">
        <f>D16*(1+Assumptions!$H$34)</f>
        <v/>
      </c>
      <c r="F16" s="37">
        <f>E16*(1+Assumptions!$H$34)</f>
        <v/>
      </c>
      <c r="G16" s="37">
        <f>F16*(1+Assumptions!$H$34)</f>
        <v/>
      </c>
      <c r="H16" s="18" t="inlineStr">
        <is>
          <t>SHAREHOLDERS' money. Closing FY26 Rs6,101.90cr (+66.3%).</t>
        </is>
      </c>
    </row>
    <row r="17">
      <c r="A17" s="15" t="inlineStr">
        <is>
          <t>Own corpus — average (Rs cr)</t>
        </is>
      </c>
      <c r="C17" s="43" t="n">
        <v>3395.97</v>
      </c>
      <c r="D17" s="43" t="n">
        <v>4885.84</v>
      </c>
      <c r="E17" s="44">
        <f>AVERAGE(D16,E16)</f>
        <v/>
      </c>
      <c r="F17" s="44">
        <f>AVERAGE(E16,F16)</f>
        <v/>
      </c>
      <c r="G17" s="44">
        <f>AVERAGE(F16,G16)</f>
        <v/>
      </c>
      <c r="H17" s="18" t="inlineStr">
        <is>
          <t>Average of opening and closing. Drives investment income.</t>
        </is>
      </c>
    </row>
    <row r="18">
      <c r="A18" s="15" t="inlineStr">
        <is>
          <t>Earmarked clearing/settlement float (Rs cr)</t>
        </is>
      </c>
      <c r="B18" s="43" t="n">
        <v>3581.65</v>
      </c>
      <c r="C18" s="43" t="n">
        <v>3311.72</v>
      </c>
      <c r="D18" s="43" t="n">
        <v>3554.23</v>
      </c>
      <c r="E18" s="45">
        <f>D18*(1+Assumptions!$H$36)</f>
        <v/>
      </c>
      <c r="F18" s="45">
        <f>E18*(1+Assumptions!$H$36)</f>
        <v/>
      </c>
      <c r="G18" s="45">
        <f>F18*(1+Assumptions!$H$36)</f>
        <v/>
      </c>
      <c r="H18" s="18" t="inlineStr">
        <is>
          <t>MEMBERS' money, not shareholders'. Excluded from equity value. Its movement is what inflates reported CFO.</t>
        </is>
      </c>
    </row>
    <row r="20">
      <c r="A20" s="13" t="inlineStr">
        <is>
          <t>REFERENCE — eleven-year equity cash ADT (Rs cr)</t>
        </is>
      </c>
      <c r="B20" s="46" t="inlineStr">
        <is>
          <t>FY16</t>
        </is>
      </c>
      <c r="C20" s="46" t="inlineStr">
        <is>
          <t>FY17</t>
        </is>
      </c>
      <c r="D20" s="46" t="inlineStr">
        <is>
          <t>FY18</t>
        </is>
      </c>
      <c r="E20" s="46" t="inlineStr">
        <is>
          <t>FY19</t>
        </is>
      </c>
      <c r="F20" s="46" t="inlineStr">
        <is>
          <t>FY20</t>
        </is>
      </c>
      <c r="G20" s="46" t="inlineStr">
        <is>
          <t>FY21</t>
        </is>
      </c>
      <c r="H20" s="46" t="inlineStr">
        <is>
          <t>FY22</t>
        </is>
      </c>
      <c r="I20" s="47" t="inlineStr">
        <is>
          <t>FY23</t>
        </is>
      </c>
      <c r="J20" s="47" t="inlineStr">
        <is>
          <t>FY24</t>
        </is>
      </c>
      <c r="K20" s="47" t="inlineStr">
        <is>
          <t>FY25</t>
        </is>
      </c>
      <c r="L20" s="47" t="inlineStr">
        <is>
          <t>FY26</t>
        </is>
      </c>
    </row>
    <row r="21">
      <c r="A21" s="48" t="inlineStr">
        <is>
          <t>FY16 - FY26</t>
        </is>
      </c>
      <c r="B21" s="43" t="n">
        <v>2996</v>
      </c>
      <c r="C21" s="43" t="n">
        <v>4025</v>
      </c>
      <c r="D21" s="43" t="n">
        <v>4402</v>
      </c>
      <c r="E21" s="43" t="n">
        <v>3127</v>
      </c>
      <c r="F21" s="43" t="n">
        <v>2676</v>
      </c>
      <c r="G21" s="43" t="n">
        <v>4197</v>
      </c>
      <c r="H21" s="43" t="n">
        <v>5396</v>
      </c>
      <c r="I21" s="43" t="n">
        <v>4132</v>
      </c>
      <c r="J21" s="43" t="n">
        <v>6622</v>
      </c>
      <c r="K21" s="43" t="n">
        <v>7766</v>
      </c>
      <c r="L21" s="43" t="n">
        <v>7950</v>
      </c>
      <c r="M21" s="18" t="inlineStr">
        <is>
          <t>Three down-years in ten; FY18-&gt;FY20 peak-to-trough -39.2%.</t>
        </is>
      </c>
    </row>
    <row r="23">
      <c r="A23" s="13" t="inlineStr">
        <is>
          <t>REFERENCE — the wedge, quarterly (the band that matters)</t>
        </is>
      </c>
      <c r="B23" s="46" t="inlineStr">
        <is>
          <t>Q1FY26</t>
        </is>
      </c>
      <c r="C23" s="46" t="inlineStr">
        <is>
          <t>Q2FY26</t>
        </is>
      </c>
      <c r="D23" s="46" t="inlineStr">
        <is>
          <t>Q3FY26</t>
        </is>
      </c>
      <c r="E23" s="46" t="inlineStr">
        <is>
          <t>Q4FY26</t>
        </is>
      </c>
      <c r="F23" s="46" t="inlineStr">
        <is>
          <t>Q1FY27</t>
        </is>
      </c>
      <c r="G23" s="14" t="n"/>
      <c r="H23" s="14" t="n"/>
    </row>
    <row r="24">
      <c r="A24" s="48" t="inlineStr">
        <is>
          <t>Q1FY26 - Q1FY27</t>
        </is>
      </c>
      <c r="B24" s="21" t="n">
        <v>0.00115144</v>
      </c>
      <c r="C24" s="21" t="n">
        <v>0.00091491</v>
      </c>
      <c r="D24" s="21" t="n">
        <v>0.00092662</v>
      </c>
      <c r="E24" s="21" t="n">
        <v>0.00118044</v>
      </c>
      <c r="F24" s="21" t="n">
        <v>0.00124959</v>
      </c>
      <c r="H24" s="49" t="inlineStr">
        <is>
          <t>Q2FY26 is the low ALREADY PRINTED -&gt; the bear case.</t>
        </is>
      </c>
    </row>
    <row r="26">
      <c r="A26" s="13" t="inlineStr">
        <is>
          <t>REFERENCE — Q1FY27 actuals (the reality check)</t>
        </is>
      </c>
      <c r="B26" s="50" t="inlineStr">
        <is>
          <t>Q1FY27</t>
        </is>
      </c>
      <c r="C26" s="50" t="inlineStr">
        <is>
          <t>x4 annualised</t>
        </is>
      </c>
      <c r="D26" s="14" t="n"/>
      <c r="E26" s="14" t="n"/>
      <c r="F26" s="14" t="n"/>
      <c r="G26" s="14" t="n"/>
      <c r="H26" s="14" t="n"/>
    </row>
    <row r="27">
      <c r="A27" s="15" t="inlineStr">
        <is>
          <t>Q1FY27 revenue ops</t>
        </is>
      </c>
      <c r="B27" s="25" t="n">
        <v>1566.02</v>
      </c>
      <c r="C27" s="51">
        <f>B27*4</f>
        <v/>
      </c>
      <c r="H27" s="49" t="inlineStr">
        <is>
          <t>Revenue grew +0.16% SEQUENTIALLY; 110.1% of the profit increase was non-operating.</t>
        </is>
      </c>
    </row>
    <row r="28">
      <c r="A28" s="15" t="inlineStr">
        <is>
          <t>Q1FY27 investment income</t>
        </is>
      </c>
      <c r="B28" s="25" t="n">
        <v>135.18</v>
      </c>
      <c r="C28" s="51">
        <f>B28*4</f>
        <v/>
      </c>
    </row>
    <row r="29">
      <c r="A29" s="15" t="inlineStr">
        <is>
          <t>Q1FY27 other income</t>
        </is>
      </c>
      <c r="B29" s="25" t="n">
        <v>5.52</v>
      </c>
      <c r="C29" s="51">
        <f>B29*4</f>
        <v/>
      </c>
    </row>
    <row r="30">
      <c r="A30" s="15" t="inlineStr">
        <is>
          <t>Q1FY27 total income</t>
        </is>
      </c>
      <c r="B30" s="25" t="n">
        <v>1706.72</v>
      </c>
      <c r="C30" s="51">
        <f>B30*4</f>
        <v/>
      </c>
    </row>
    <row r="31">
      <c r="A31" s="15" t="inlineStr">
        <is>
          <t>Q1FY27 employee</t>
        </is>
      </c>
      <c r="B31" s="25" t="n">
        <v>87.05</v>
      </c>
      <c r="C31" s="51">
        <f>B31*4</f>
        <v/>
      </c>
    </row>
    <row r="32">
      <c r="A32" s="15" t="inlineStr">
        <is>
          <t>Q1FY27 technology</t>
        </is>
      </c>
      <c r="B32" s="25" t="n">
        <v>60.82</v>
      </c>
      <c r="C32" s="51">
        <f>B32*4</f>
        <v/>
      </c>
    </row>
    <row r="33">
      <c r="A33" s="15" t="inlineStr">
        <is>
          <t>Q1FY27 clearing</t>
        </is>
      </c>
      <c r="B33" s="25" t="n">
        <v>90.28</v>
      </c>
      <c r="C33" s="51">
        <f>B33*4</f>
        <v/>
      </c>
    </row>
    <row r="34">
      <c r="A34" s="15" t="inlineStr">
        <is>
          <t>Q1FY27 regulatory</t>
        </is>
      </c>
      <c r="B34" s="25" t="n">
        <v>192.78</v>
      </c>
      <c r="C34" s="51">
        <f>B34*4</f>
        <v/>
      </c>
    </row>
    <row r="35">
      <c r="A35" s="15" t="inlineStr">
        <is>
          <t>Q1FY27 other expenses</t>
        </is>
      </c>
      <c r="B35" s="25" t="n">
        <v>63.16</v>
      </c>
      <c r="C35" s="51">
        <f>B35*4</f>
        <v/>
      </c>
    </row>
    <row r="36">
      <c r="A36" s="15" t="inlineStr">
        <is>
          <t>Q1FY27 depreciation</t>
        </is>
      </c>
      <c r="B36" s="25" t="n">
        <v>42.6</v>
      </c>
      <c r="C36" s="51">
        <f>B36*4</f>
        <v/>
      </c>
    </row>
    <row r="37">
      <c r="A37" s="15" t="inlineStr">
        <is>
          <t>Q1FY27 total expenses</t>
        </is>
      </c>
      <c r="B37" s="25" t="n">
        <v>536.6900000000001</v>
      </c>
      <c r="C37" s="51">
        <f>B37*4</f>
        <v/>
      </c>
    </row>
    <row r="38">
      <c r="A38" s="15" t="inlineStr">
        <is>
          <t>Q1FY27 pbt</t>
        </is>
      </c>
      <c r="B38" s="25" t="n">
        <v>1163.66</v>
      </c>
      <c r="C38" s="51">
        <f>B38*4</f>
        <v/>
      </c>
    </row>
  </sheetData>
  <mergeCells count="3">
    <mergeCell ref="A3:H3"/>
    <mergeCell ref="A2:H2"/>
    <mergeCell ref="A1:H1"/>
  </mergeCells>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H4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56" customWidth="1" min="8" max="8"/>
  </cols>
  <sheetData>
    <row r="1" ht="24" customHeight="1">
      <c r="A1" s="1" t="inlineStr">
        <is>
          <t>BSE Ltd — Consolidated Income Statement</t>
        </is>
      </c>
      <c r="B1" s="2" t="n"/>
      <c r="C1" s="2" t="n"/>
      <c r="D1" s="2" t="n"/>
      <c r="E1" s="2" t="n"/>
      <c r="F1" s="2" t="n"/>
      <c r="G1" s="2" t="n"/>
      <c r="H1" s="2" t="n"/>
    </row>
    <row r="2">
      <c r="A2" s="3" t="inlineStr">
        <is>
          <t>SEBI levy computed on NOTIONAL turnover; clearing on CONTRACT COUNT; Core SGF at announced POLICY. An ex-levy COST FLOOR prevents controllable opex falling with revenue — the research records that the floor 'has never contracted in a down year'.</t>
        </is>
      </c>
    </row>
    <row r="3">
      <c r="A3" s="4" t="inlineStr">
        <is>
          <t>Units: Rs Crore, consolidated. Historical actuals blue; projections formula-driven.</t>
        </is>
      </c>
    </row>
    <row r="4">
      <c r="B4" s="31" t="inlineStr">
        <is>
          <t>Actual</t>
        </is>
      </c>
      <c r="E4" s="32" t="inlineStr">
        <is>
          <t>Projected</t>
        </is>
      </c>
    </row>
    <row r="5">
      <c r="A5" s="5" t="inlineStr">
        <is>
          <t>Rs Crore / as marked</t>
        </is>
      </c>
      <c r="B5" s="33" t="inlineStr">
        <is>
          <t>FY24</t>
        </is>
      </c>
      <c r="C5" s="33" t="inlineStr">
        <is>
          <t>FY25</t>
        </is>
      </c>
      <c r="D5" s="33" t="inlineStr">
        <is>
          <t>FY26</t>
        </is>
      </c>
      <c r="E5" s="34" t="inlineStr">
        <is>
          <t>FY27E</t>
        </is>
      </c>
      <c r="F5" s="34" t="inlineStr">
        <is>
          <t>FY28E</t>
        </is>
      </c>
      <c r="G5" s="34" t="inlineStr">
        <is>
          <t>FY29E</t>
        </is>
      </c>
      <c r="H5" s="5" t="inlineStr">
        <is>
          <t>Source / formula basis</t>
        </is>
      </c>
    </row>
    <row r="6">
      <c r="A6" s="13" t="inlineStr">
        <is>
          <t>INCOME</t>
        </is>
      </c>
      <c r="B6" s="14" t="n"/>
      <c r="C6" s="14" t="n"/>
      <c r="D6" s="14" t="n"/>
      <c r="E6" s="14" t="n"/>
      <c r="F6" s="14" t="n"/>
      <c r="G6" s="14" t="n"/>
      <c r="H6" s="14" t="n"/>
    </row>
    <row r="7">
      <c r="A7" s="5" t="inlineStr">
        <is>
          <t>Revenue from operations</t>
        </is>
      </c>
      <c r="B7" s="52">
        <f>'Segment Revenue Build'!B21</f>
        <v/>
      </c>
      <c r="C7" s="52">
        <f>'Segment Revenue Build'!C21</f>
        <v/>
      </c>
      <c r="D7" s="52">
        <f>'Segment Revenue Build'!D21</f>
        <v/>
      </c>
      <c r="E7" s="52">
        <f>'Segment Revenue Build'!E21</f>
        <v/>
      </c>
      <c r="F7" s="52">
        <f>'Segment Revenue Build'!F21</f>
        <v/>
      </c>
      <c r="G7" s="52">
        <f>'Segment Revenue Build'!G21</f>
        <v/>
      </c>
      <c r="H7" s="18" t="inlineStr">
        <is>
          <t>Link to Segment Revenue Build.</t>
        </is>
      </c>
    </row>
    <row r="8">
      <c r="A8" s="15" t="inlineStr">
        <is>
          <t>Investment income (own treasury)</t>
        </is>
      </c>
      <c r="B8" s="53">
        <f>'Segment Revenue Build'!B23</f>
        <v/>
      </c>
      <c r="C8" s="53">
        <f>'Segment Revenue Build'!C23</f>
        <v/>
      </c>
      <c r="D8" s="53">
        <f>'Segment Revenue Build'!D23</f>
        <v/>
      </c>
      <c r="E8" s="53">
        <f>'Segment Revenue Build'!E23</f>
        <v/>
      </c>
      <c r="F8" s="53">
        <f>'Segment Revenue Build'!F23</f>
        <v/>
      </c>
      <c r="G8" s="53">
        <f>'Segment Revenue Build'!G23</f>
        <v/>
      </c>
      <c r="H8" s="18" t="inlineStr">
        <is>
          <t>Link to Segment tab. NOT part of operating FCFF.</t>
        </is>
      </c>
    </row>
    <row r="9">
      <c r="A9" s="15" t="inlineStr">
        <is>
          <t>Other income</t>
        </is>
      </c>
      <c r="B9" s="25" t="n">
        <v>25.4</v>
      </c>
      <c r="C9" s="25" t="n">
        <v>24.27</v>
      </c>
      <c r="D9" s="25" t="n">
        <v>23.85</v>
      </c>
      <c r="E9" s="53">
        <f>Assumptions!$H$48</f>
        <v/>
      </c>
      <c r="F9" s="53">
        <f>Assumptions!$H$48</f>
        <v/>
      </c>
      <c r="G9" s="53">
        <f>Assumptions!$H$48</f>
        <v/>
      </c>
      <c r="H9" s="18" t="inlineStr">
        <is>
          <t>From Assumptions.</t>
        </is>
      </c>
    </row>
    <row r="10">
      <c r="A10" s="5" t="inlineStr">
        <is>
          <t>Total income</t>
        </is>
      </c>
      <c r="B10" s="26">
        <f>B7+B8+B9</f>
        <v/>
      </c>
      <c r="C10" s="26">
        <f>C7+C8+C9</f>
        <v/>
      </c>
      <c r="D10" s="26">
        <f>D7+D8+D9</f>
        <v/>
      </c>
      <c r="E10" s="26">
        <f>E7+E8+E9</f>
        <v/>
      </c>
      <c r="F10" s="26">
        <f>F7+F8+F9</f>
        <v/>
      </c>
      <c r="G10" s="26">
        <f>G7+G8+G9</f>
        <v/>
      </c>
    </row>
    <row r="11">
      <c r="A11" s="13" t="inlineStr">
        <is>
          <t>CONTROLLABLE OPERATING EXPENSES</t>
        </is>
      </c>
      <c r="B11" s="14" t="n"/>
      <c r="C11" s="14" t="n"/>
      <c r="D11" s="14" t="n"/>
      <c r="E11" s="14" t="n"/>
      <c r="F11" s="14" t="n"/>
      <c r="G11" s="14" t="n"/>
      <c r="H11" s="14" t="n"/>
    </row>
    <row r="12">
      <c r="A12" s="15" t="inlineStr">
        <is>
          <t>Employee benefits expense</t>
        </is>
      </c>
      <c r="B12" s="25" t="n">
        <v>204.71</v>
      </c>
      <c r="C12" s="25" t="n">
        <v>236.62</v>
      </c>
      <c r="D12" s="25" t="n">
        <v>297.81</v>
      </c>
      <c r="E12" s="53">
        <f>D12*(1+Assumptions!$H$39)</f>
        <v/>
      </c>
      <c r="F12" s="53">
        <f>E12*(1+Assumptions!$H$39)</f>
        <v/>
      </c>
      <c r="G12" s="53">
        <f>F12*(1+Assumptions!$H$39)</f>
        <v/>
      </c>
      <c r="H12" s="18" t="inlineStr">
        <is>
          <t>Prior x (1 + growth).</t>
        </is>
      </c>
    </row>
    <row r="13">
      <c r="A13" s="15" t="inlineStr">
        <is>
          <t>Technology &amp; operating expense</t>
        </is>
      </c>
      <c r="B13" s="25" t="n">
        <v>137.44</v>
      </c>
      <c r="C13" s="25" t="n">
        <v>164.29</v>
      </c>
      <c r="D13" s="25" t="n">
        <v>203.13</v>
      </c>
      <c r="E13" s="53">
        <f>D13*(1+Assumptions!$H$40)</f>
        <v/>
      </c>
      <c r="F13" s="53">
        <f>E13*(1+Assumptions!$H$40)</f>
        <v/>
      </c>
      <c r="G13" s="53">
        <f>F13*(1+Assumptions!$H$40)</f>
        <v/>
      </c>
      <c r="H13" s="18" t="inlineStr">
        <is>
          <t>Prior x (1 + growth).</t>
        </is>
      </c>
    </row>
    <row r="14">
      <c r="A14" s="15" t="inlineStr">
        <is>
          <t>Clearing &amp; settlement expense</t>
        </is>
      </c>
      <c r="B14" s="25" t="n">
        <v>133.14</v>
      </c>
      <c r="C14" s="25" t="n">
        <v>348.05</v>
      </c>
      <c r="D14" s="25" t="n">
        <v>280.35</v>
      </c>
      <c r="E14" s="53">
        <f>'Drivers &amp; History'!E12*Assumptions!$H$17</f>
        <v/>
      </c>
      <c r="F14" s="53">
        <f>'Drivers &amp; History'!F12*Assumptions!$H$17</f>
        <v/>
      </c>
      <c r="G14" s="53">
        <f>'Drivers &amp; History'!G12*Assumptions!$H$17</f>
        <v/>
      </c>
      <c r="H14" s="18" t="inlineStr">
        <is>
          <t xml:space="preserve"> = CONTRACT INDEX x cost per unit. FY26 fell 19.45% while notional rose 69.11% — proof the driver is contracts, not turnover. (v1 wrongly used % of revenue.)</t>
        </is>
      </c>
    </row>
    <row r="15">
      <c r="A15" s="15" t="inlineStr">
        <is>
          <t>Other administrative expenses</t>
        </is>
      </c>
      <c r="B15" s="25" t="n">
        <v>338.84</v>
      </c>
      <c r="C15" s="25" t="n">
        <v>201.54</v>
      </c>
      <c r="D15" s="25" t="n">
        <v>247.32</v>
      </c>
      <c r="E15" s="53">
        <f>D15*(1+Assumptions!$H$41)</f>
        <v/>
      </c>
      <c r="F15" s="53">
        <f>E15*(1+Assumptions!$H$41)</f>
        <v/>
      </c>
      <c r="G15" s="53">
        <f>F15*(1+Assumptions!$H$41)</f>
        <v/>
      </c>
      <c r="H15" s="18" t="inlineStr">
        <is>
          <t>Prior x (1 + growth).</t>
        </is>
      </c>
    </row>
    <row r="16">
      <c r="A16" s="15" t="inlineStr">
        <is>
          <t>Depreciation &amp; amortisation</t>
        </is>
      </c>
      <c r="B16" s="25" t="n">
        <v>95.44</v>
      </c>
      <c r="C16" s="25" t="n">
        <v>112.98</v>
      </c>
      <c r="D16" s="25" t="n">
        <v>158.96</v>
      </c>
      <c r="E16" s="53">
        <f>'Balance Sheet'!E9</f>
        <v/>
      </c>
      <c r="F16" s="53">
        <f>'Balance Sheet'!F9</f>
        <v/>
      </c>
      <c r="G16" s="53">
        <f>'Balance Sheet'!G9</f>
        <v/>
      </c>
      <c r="H16" s="18" t="inlineStr">
        <is>
          <t>Links to the Balance Sheet capex/D&amp;A schedule.</t>
        </is>
      </c>
    </row>
    <row r="17">
      <c r="A17" s="5" t="inlineStr">
        <is>
          <t>Controllable opex — computed</t>
        </is>
      </c>
      <c r="B17" s="26">
        <f>B12+B13+B14+B15+B16</f>
        <v/>
      </c>
      <c r="C17" s="26">
        <f>C12+C13+C14+C15+C16</f>
        <v/>
      </c>
      <c r="D17" s="26">
        <f>D12+D13+D14+D15+D16</f>
        <v/>
      </c>
      <c r="E17" s="26">
        <f>E12+E13+E14+E15+E16</f>
        <v/>
      </c>
      <c r="F17" s="26">
        <f>F12+F13+F14+F15+F16</f>
        <v/>
      </c>
      <c r="G17" s="26">
        <f>G12+G13+G14+G15+G16</f>
        <v/>
      </c>
      <c r="H17" s="18" t="inlineStr">
        <is>
          <t>Sum of the controllable lines above.</t>
        </is>
      </c>
    </row>
    <row r="18">
      <c r="A18" s="48" t="inlineStr">
        <is>
          <t>Ex-levy cost FLOOR (inflated)</t>
        </is>
      </c>
      <c r="D18" s="25" t="n">
        <v>1187.73</v>
      </c>
      <c r="E18" s="53">
        <f>$D$18*(1+Assumptions!$H$43)^1</f>
        <v/>
      </c>
      <c r="F18" s="53">
        <f>$D$18*(1+Assumptions!$H$43)^2</f>
        <v/>
      </c>
      <c r="G18" s="53">
        <f>$D$18*(1+Assumptions!$H$43)^3</f>
        <v/>
      </c>
      <c r="H18" s="49" t="inlineStr">
        <is>
          <t>FY26 ex-levy run rate Rs1,187.73cr. 'That floor has never contracted in a down year.' [W7_bearcase]</t>
        </is>
      </c>
    </row>
    <row r="19">
      <c r="A19" s="5" t="inlineStr">
        <is>
          <t>Controllable opex — APPLIED (floor enforced)</t>
        </is>
      </c>
      <c r="B19" s="26">
        <f>B17</f>
        <v/>
      </c>
      <c r="C19" s="26">
        <f>C17</f>
        <v/>
      </c>
      <c r="D19" s="26">
        <f>D17</f>
        <v/>
      </c>
      <c r="E19" s="52">
        <f>IF(Assumptions!$H$42=1,MAX(E17,E18),E17)</f>
        <v/>
      </c>
      <c r="F19" s="52">
        <f>IF(Assumptions!$H$42=1,MAX(F17,F18),F17)</f>
        <v/>
      </c>
      <c r="G19" s="52">
        <f>IF(Assumptions!$H$42=1,MAX(G17,G18),G17)</f>
        <v/>
      </c>
      <c r="H19" s="18" t="inlineStr">
        <is>
          <t>MAX(computed, floor) when the switch is ON.</t>
        </is>
      </c>
    </row>
    <row r="20">
      <c r="A20" s="54" t="inlineStr">
        <is>
          <t xml:space="preserve">  of which: floor uplift (binding when &gt; 0)</t>
        </is>
      </c>
      <c r="B20" s="51">
        <f>B19-B17</f>
        <v/>
      </c>
      <c r="C20" s="51">
        <f>C19-C17</f>
        <v/>
      </c>
      <c r="D20" s="51">
        <f>D19-D17</f>
        <v/>
      </c>
      <c r="E20" s="51">
        <f>E19-E17</f>
        <v/>
      </c>
      <c r="F20" s="51">
        <f>F19-F17</f>
        <v/>
      </c>
      <c r="G20" s="51">
        <f>G19-G17</f>
        <v/>
      </c>
      <c r="H20" s="18" t="inlineStr">
        <is>
          <t>Shows how much cost the floor is holding in place.</t>
        </is>
      </c>
    </row>
    <row r="21">
      <c r="A21" s="13" t="inlineStr">
        <is>
          <t>REGULATORY COSTS (set by SEBI, not by BSE)</t>
        </is>
      </c>
      <c r="B21" s="14" t="n"/>
      <c r="C21" s="14" t="n"/>
      <c r="D21" s="14" t="n"/>
      <c r="E21" s="14" t="n"/>
      <c r="F21" s="14" t="n"/>
      <c r="G21" s="14" t="n"/>
      <c r="H21" s="14" t="n"/>
    </row>
    <row r="22">
      <c r="A22" s="15" t="inlineStr">
        <is>
          <t>SEBI regulatory fee (on NOTIONAL turnover)</t>
        </is>
      </c>
      <c r="B22" s="25" t="n">
        <v>169.77</v>
      </c>
      <c r="C22" s="25" t="n">
        <v>331.41</v>
      </c>
      <c r="D22" s="25" t="n">
        <v>566.16</v>
      </c>
      <c r="E22" s="53">
        <f>'Drivers &amp; History'!E10*Assumptions!$H$14</f>
        <v/>
      </c>
      <c r="F22" s="53">
        <f>'Drivers &amp; History'!F10*Assumptions!$H$14</f>
        <v/>
      </c>
      <c r="G22" s="53">
        <f>'Drivers &amp; History'!G10*Assumptions!$H$14</f>
        <v/>
      </c>
      <c r="H22" s="18" t="inlineStr">
        <is>
          <t xml:space="preserve"> = NOTIONAL ADT x levy rate. 11.71% of BSE revenue vs NSE's 4.80% = 2.44x, because BSE bills on premium and pays on notional (958.6x the base).</t>
        </is>
      </c>
    </row>
    <row r="23">
      <c r="A23" s="15" t="inlineStr">
        <is>
          <t>Core SGF contribution</t>
        </is>
      </c>
      <c r="B23" s="25" t="n">
        <v>91.7</v>
      </c>
      <c r="C23" s="25" t="n">
        <v>90</v>
      </c>
      <c r="D23" s="25" t="n">
        <v>76.95999999999999</v>
      </c>
      <c r="E23" s="53">
        <f>IF(Assumptions!$H$44=2,'Segment Revenue Build'!E12*Assumptions!$H$32*Assumptions!$H$45,D23*(1+Assumptions!$H$41))</f>
        <v/>
      </c>
      <c r="F23" s="53">
        <f>IF(Assumptions!$H$44=2,'Segment Revenue Build'!F12*Assumptions!$H$32*Assumptions!$H$45,E23*(1+Assumptions!$H$41))</f>
        <v/>
      </c>
      <c r="G23" s="53">
        <f>IF(Assumptions!$H$44=2,'Segment Revenue Build'!G12*Assumptions!$H$32*Assumptions!$H$45,F23*(1+Assumptions!$H$41))</f>
        <v/>
      </c>
      <c r="H23" s="49" t="inlineStr">
        <is>
          <t>Mode 2 = announced policy 5% of transaction revenue (Rs189.75cr) vs Rs76.96cr charged = 2.47x. Permanent cash into a RESTRICTED fund. Counter-cyclical.</t>
        </is>
      </c>
    </row>
    <row r="24">
      <c r="A24" s="15" t="inlineStr">
        <is>
          <t>Other regulatory &amp; sundry expense</t>
        </is>
      </c>
      <c r="D24" s="25" t="n">
        <v>77.97</v>
      </c>
      <c r="E24" s="53">
        <f>Assumptions!$H$29</f>
        <v/>
      </c>
      <c r="F24" s="53">
        <f>Assumptions!$H$29</f>
        <v/>
      </c>
      <c r="G24" s="53">
        <f>Assumptions!$H$29</f>
        <v/>
      </c>
      <c r="H24" s="18" t="inlineStr">
        <is>
          <t>Reconciliation line — bridges the component build to reported total expenses.</t>
        </is>
      </c>
    </row>
    <row r="25">
      <c r="A25" s="5" t="inlineStr">
        <is>
          <t>TOTAL EXPENSES</t>
        </is>
      </c>
      <c r="B25" s="55" t="n">
        <v>1100.82</v>
      </c>
      <c r="C25" s="55" t="n">
        <v>1480.63</v>
      </c>
      <c r="D25" s="55" t="n">
        <v>1837.42</v>
      </c>
      <c r="E25" s="26">
        <f>E19+E22+E24</f>
        <v/>
      </c>
      <c r="F25" s="26">
        <f>F19+F22+F24</f>
        <v/>
      </c>
      <c r="G25" s="26">
        <f>G19+G22+G24</f>
        <v/>
      </c>
      <c r="H25" s="18" t="inlineStr">
        <is>
          <t>Projected = controllable applied + SEBI levy + other reg. Core SGF is deducted separately below, matching the reported PBT identity.</t>
        </is>
      </c>
    </row>
    <row r="26">
      <c r="A26" s="13" t="inlineStr">
        <is>
          <t>PROFIT</t>
        </is>
      </c>
      <c r="B26" s="14" t="n"/>
      <c r="C26" s="14" t="n"/>
      <c r="D26" s="14" t="n"/>
      <c r="E26" s="14" t="n"/>
      <c r="F26" s="14" t="n"/>
      <c r="G26" s="14" t="n"/>
      <c r="H26" s="14" t="n"/>
    </row>
    <row r="27">
      <c r="A27" s="15" t="inlineStr">
        <is>
          <t>EBITDA (incl investment income)</t>
        </is>
      </c>
      <c r="B27" s="51">
        <f>B10-B25+B16</f>
        <v/>
      </c>
      <c r="C27" s="51">
        <f>C10-C25+C16</f>
        <v/>
      </c>
      <c r="D27" s="51">
        <f>D10-D25+D16</f>
        <v/>
      </c>
      <c r="E27" s="51">
        <f>E10-E25+E16</f>
        <v/>
      </c>
      <c r="F27" s="51">
        <f>F10-F25+F16</f>
        <v/>
      </c>
      <c r="G27" s="51">
        <f>G10-G25+G16</f>
        <v/>
      </c>
    </row>
    <row r="28">
      <c r="A28" s="54" t="inlineStr">
        <is>
          <t>Memo: float income inside revenue (members' money)</t>
        </is>
      </c>
      <c r="B28" s="53">
        <f>'Drivers &amp; History'!B18*Assumptions!$H$37</f>
        <v/>
      </c>
      <c r="C28" s="53">
        <f>'Drivers &amp; History'!C18*Assumptions!$H$37</f>
        <v/>
      </c>
      <c r="D28" s="53">
        <f>'Drivers &amp; History'!D18*Assumptions!$H$37</f>
        <v/>
      </c>
      <c r="E28" s="53">
        <f>'Drivers &amp; History'!E18*Assumptions!$H$37</f>
        <v/>
      </c>
      <c r="F28" s="53">
        <f>'Drivers &amp; History'!F18*Assumptions!$H$37</f>
        <v/>
      </c>
      <c r="G28" s="53">
        <f>'Drivers &amp; History'!G18*Assumptions!$H$37</f>
        <v/>
      </c>
      <c r="H28" s="49" t="inlineStr">
        <is>
          <t>Rs171.42cr in FY26: interest earned on MEMBERS' clearing float at 4.99%, credited to shareholders as revenue. Not customer income.</t>
        </is>
      </c>
    </row>
    <row r="29">
      <c r="A29" s="5" t="inlineStr">
        <is>
          <t>OPERATING EBIT (excl investment &amp; other income)</t>
        </is>
      </c>
      <c r="B29" s="52">
        <f>B7-B25-B23-IF(Assumptions!$H$74=1,B28,0)</f>
        <v/>
      </c>
      <c r="C29" s="52">
        <f>C7-C25-C23-IF(Assumptions!$H$74=1,C28,0)</f>
        <v/>
      </c>
      <c r="D29" s="52">
        <f>D7-D25-D23-IF(Assumptions!$H$74=1,D28,0)</f>
        <v/>
      </c>
      <c r="E29" s="52">
        <f>E7-E25-E23-IF(Assumptions!$H$74=1,E28,0)</f>
        <v/>
      </c>
      <c r="F29" s="52">
        <f>F7-F25-F23-IF(Assumptions!$H$74=1,F28,0)</f>
        <v/>
      </c>
      <c r="G29" s="52">
        <f>G7-G25-G23-IF(Assumptions!$H$74=1,G28,0)</f>
        <v/>
      </c>
      <c r="H29" s="49" t="inlineStr">
        <is>
          <t>THE DCF BASE. Revenue less all operating cost incl SGF, less float income when the strip switch is on. Excludes treasury income so the corpus is not capitalised twice.</t>
        </is>
      </c>
    </row>
    <row r="30">
      <c r="A30" s="15" t="inlineStr">
        <is>
          <t>Finance cost</t>
        </is>
      </c>
      <c r="B30" s="25" t="n">
        <v>15.05</v>
      </c>
      <c r="C30" s="25" t="n">
        <v>0.03</v>
      </c>
      <c r="D30" s="25" t="n">
        <v>0.16</v>
      </c>
      <c r="E30" s="53">
        <f>Assumptions!$H$49</f>
        <v/>
      </c>
      <c r="F30" s="53">
        <f>Assumptions!$H$49</f>
        <v/>
      </c>
      <c r="G30" s="53">
        <f>Assumptions!$H$49</f>
        <v/>
      </c>
      <c r="H30" s="18" t="inlineStr">
        <is>
          <t>Effectively debt-free.</t>
        </is>
      </c>
    </row>
    <row r="31">
      <c r="A31" s="15" t="inlineStr">
        <is>
          <t>Share of associate profit (CDSL)</t>
        </is>
      </c>
      <c r="B31" s="25" t="n">
        <v>71.81999999999999</v>
      </c>
      <c r="C31" s="25" t="n">
        <v>82.59</v>
      </c>
      <c r="D31" s="25" t="n">
        <v>65.42</v>
      </c>
      <c r="E31" s="53">
        <f>IF(Assumptions!$H$69=1,Assumptions!$H$47,0)</f>
        <v/>
      </c>
      <c r="F31" s="53">
        <f>IF(Assumptions!$H$69=1,Assumptions!$H$47,0)</f>
        <v/>
      </c>
      <c r="G31" s="53">
        <f>IF(Assumptions!$H$69=1,Assumptions!$H$47,0)</f>
        <v/>
      </c>
      <c r="H31" s="18" t="inlineStr">
        <is>
          <t>Mode 1 = keep the equity earnings here and value the stake at nil. Mode 2 = strip these earnings and add the stake's MARKET value in the DCF bridge instead. Never both.</t>
        </is>
      </c>
    </row>
    <row r="32">
      <c r="A32" s="15" t="inlineStr">
        <is>
          <t>Exceptional items</t>
        </is>
      </c>
      <c r="B32" s="25" t="n">
        <v>406.62</v>
      </c>
      <c r="C32" s="25" t="n">
        <v>0</v>
      </c>
      <c r="D32" s="25" t="n">
        <v>0</v>
      </c>
      <c r="E32" s="53">
        <f>Assumptions!$H$50</f>
        <v/>
      </c>
      <c r="F32" s="53">
        <f>Assumptions!$H$50</f>
        <v/>
      </c>
      <c r="G32" s="53">
        <f>Assumptions!$H$50</f>
        <v/>
      </c>
      <c r="H32" s="18" t="inlineStr">
        <is>
          <t>Nil projected.</t>
        </is>
      </c>
    </row>
    <row r="33">
      <c r="A33" s="5" t="inlineStr">
        <is>
          <t>Profit before tax</t>
        </is>
      </c>
      <c r="B33" s="55" t="n">
        <v>995.52</v>
      </c>
      <c r="C33" s="55" t="n">
        <v>1748.27</v>
      </c>
      <c r="D33" s="55" t="n">
        <v>3299.14</v>
      </c>
      <c r="E33" s="52">
        <f>E29+IF(Assumptions!$H$74=1,E28,0)+E8+E9-E30+E31+E32</f>
        <v/>
      </c>
      <c r="F33" s="52">
        <f>F29+IF(Assumptions!$H$74=1,F28,0)+F8+F9-F30+F31+F32</f>
        <v/>
      </c>
      <c r="G33" s="52">
        <f>G29+IF(Assumptions!$H$74=1,G28,0)+G8+G9-G30+G31+G32</f>
        <v/>
      </c>
      <c r="H33" s="18" t="inlineStr">
        <is>
          <t>Float income is added back here because it IS in reported revenue and reported PBT — it is removed only from the FCFF base.</t>
        </is>
      </c>
    </row>
    <row r="34">
      <c r="A34" s="15" t="inlineStr">
        <is>
          <t>Tax expense</t>
        </is>
      </c>
      <c r="B34" s="25" t="n">
        <v>223.86</v>
      </c>
      <c r="C34" s="25" t="n">
        <v>431.21</v>
      </c>
      <c r="D34" s="25" t="n">
        <v>823.84</v>
      </c>
      <c r="E34" s="53">
        <f>E33*Assumptions!$H$55</f>
        <v/>
      </c>
      <c r="F34" s="53">
        <f>F33*Assumptions!$H$55</f>
        <v/>
      </c>
      <c r="G34" s="53">
        <f>G33*Assumptions!$H$55</f>
        <v/>
      </c>
      <c r="H34" s="18" t="inlineStr">
        <is>
          <t>PBT x effective tax rate.</t>
        </is>
      </c>
    </row>
    <row r="35">
      <c r="A35" s="15" t="inlineStr">
        <is>
          <t>Profit from discontinued operations</t>
        </is>
      </c>
      <c r="C35" s="25" t="n">
        <v>5.26</v>
      </c>
      <c r="D35" s="25" t="n">
        <v>11.95</v>
      </c>
      <c r="E35" s="53">
        <f>Assumptions!$H$31</f>
        <v/>
      </c>
      <c r="F35" s="53">
        <f>Assumptions!$H$31</f>
        <v/>
      </c>
      <c r="G35" s="53">
        <f>Assumptions!$H$31</f>
        <v/>
      </c>
      <c r="H35" s="18" t="inlineStr">
        <is>
          <t>FY26 Rs11.95cr — explains the PBT-less-tax vs reported-PAT gap exactly. Nil projected.</t>
        </is>
      </c>
    </row>
    <row r="36">
      <c r="A36" s="5" t="inlineStr">
        <is>
          <t>Profit after tax (total)</t>
        </is>
      </c>
      <c r="B36" s="26">
        <f>B33-B34+B35</f>
        <v/>
      </c>
      <c r="C36" s="26">
        <f>C33-C34+C35</f>
        <v/>
      </c>
      <c r="D36" s="26">
        <f>D33-D34+D35</f>
        <v/>
      </c>
      <c r="E36" s="26">
        <f>E33-E34+E35</f>
        <v/>
      </c>
      <c r="F36" s="26">
        <f>F33-F34+F35</f>
        <v/>
      </c>
      <c r="G36" s="26">
        <f>G33-G34+G35</f>
        <v/>
      </c>
    </row>
    <row r="37">
      <c r="A37" s="5" t="inlineStr">
        <is>
          <t>PAT attributable to owners</t>
        </is>
      </c>
      <c r="B37" s="52">
        <f>B36*Assumptions!$H$30</f>
        <v/>
      </c>
      <c r="C37" s="52">
        <f>C36*Assumptions!$H$30</f>
        <v/>
      </c>
      <c r="D37" s="52">
        <f>D36*Assumptions!$H$30</f>
        <v/>
      </c>
      <c r="E37" s="52">
        <f>E36*Assumptions!$H$30</f>
        <v/>
      </c>
      <c r="F37" s="52">
        <f>F36*Assumptions!$H$30</f>
        <v/>
      </c>
      <c r="G37" s="52">
        <f>G36*Assumptions!$H$30</f>
        <v/>
      </c>
      <c r="H37" s="18" t="inlineStr">
        <is>
          <t>PAT total x attribution factor. This is the EPS numerator.</t>
        </is>
      </c>
    </row>
    <row r="38">
      <c r="A38" s="35" t="inlineStr">
        <is>
          <t>EPS (Rs) — on ISSUED shares</t>
        </is>
      </c>
      <c r="B38" s="42">
        <f>B37/Assumptions!$H$72</f>
        <v/>
      </c>
      <c r="C38" s="42">
        <f>C37/Assumptions!$H$72</f>
        <v/>
      </c>
      <c r="D38" s="42">
        <f>D37/Assumptions!$H$72</f>
        <v/>
      </c>
      <c r="E38" s="42">
        <f>E37/Assumptions!$H$72</f>
        <v/>
      </c>
      <c r="F38" s="42">
        <f>F37/Assumptions!$H$72</f>
        <v/>
      </c>
      <c r="G38" s="42">
        <f>G37/Assumptions!$H$72</f>
        <v/>
      </c>
      <c r="H38" s="49" t="inlineStr">
        <is>
          <t>Audited basis: 2,496.98/41.1979 = Rs60.61 for FY26. Dividing by PAID-UP shares would print Rs61.22 — that is the wrong denominator for EPS.</t>
        </is>
      </c>
    </row>
    <row r="39">
      <c r="A39" s="54" t="inlineStr">
        <is>
          <t>Memo: MTM revaluation inside investment income</t>
        </is>
      </c>
      <c r="B39" s="53">
        <f>B8*(1-Assumptions!$H$73)</f>
        <v/>
      </c>
      <c r="C39" s="53">
        <f>C8*(1-Assumptions!$H$73)</f>
        <v/>
      </c>
      <c r="D39" s="53">
        <f>D8*(1-Assumptions!$H$73)</f>
        <v/>
      </c>
      <c r="E39" s="53">
        <f>E8*(1-Assumptions!$H$73)</f>
        <v/>
      </c>
      <c r="F39" s="53">
        <f>F8*(1-Assumptions!$H$73)</f>
        <v/>
      </c>
      <c r="G39" s="53">
        <f>G8*(1-Assumptions!$H$73)</f>
        <v/>
      </c>
      <c r="H39" s="49" t="inlineStr">
        <is>
          <t>~30.57% of investment income is mark-to-market revaluation — 'not a yield and should not carry an operating multiple' [W5].</t>
        </is>
      </c>
    </row>
    <row r="40">
      <c r="A40" s="35" t="inlineStr">
        <is>
          <t>Quality-adjusted EPS (Rs) — MTM removed</t>
        </is>
      </c>
      <c r="B40" s="42">
        <f>(B37-B39*(1-Assumptions!$H$55))/Assumptions!$H$72</f>
        <v/>
      </c>
      <c r="C40" s="42">
        <f>(C37-C39*(1-Assumptions!$H$55))/Assumptions!$H$72</f>
        <v/>
      </c>
      <c r="D40" s="42">
        <f>(D37-D39*(1-Assumptions!$H$55))/Assumptions!$H$72</f>
        <v/>
      </c>
      <c r="E40" s="42">
        <f>(E37-E39*(1-Assumptions!$H$55))/Assumptions!$H$72</f>
        <v/>
      </c>
      <c r="F40" s="42">
        <f>(F37-F39*(1-Assumptions!$H$55))/Assumptions!$H$72</f>
        <v/>
      </c>
      <c r="G40" s="42">
        <f>(G37-G39*(1-Assumptions!$H$55))/Assumptions!$H$72</f>
        <v/>
      </c>
      <c r="H40" s="18" t="inlineStr">
        <is>
          <t>The earnings an operating multiple should be struck on.</t>
        </is>
      </c>
    </row>
    <row r="41">
      <c r="A41" s="15" t="inlineStr">
        <is>
          <t>Dividend declared</t>
        </is>
      </c>
      <c r="B41" s="53">
        <f>B37*Assumptions!$H$56</f>
        <v/>
      </c>
      <c r="C41" s="53">
        <f>C37*Assumptions!$H$56</f>
        <v/>
      </c>
      <c r="D41" s="53">
        <f>D37*Assumptions!$H$56</f>
        <v/>
      </c>
      <c r="E41" s="53">
        <f>E37*Assumptions!$H$56</f>
        <v/>
      </c>
      <c r="F41" s="53">
        <f>F37*Assumptions!$H$56</f>
        <v/>
      </c>
      <c r="G41" s="53">
        <f>G37*Assumptions!$H$56</f>
        <v/>
      </c>
      <c r="H41" s="18" t="inlineStr">
        <is>
          <t>NO dividend policy exists in ten annual reports.</t>
        </is>
      </c>
    </row>
    <row r="42">
      <c r="A42" s="13" t="inlineStr">
        <is>
          <t>MARGINS</t>
        </is>
      </c>
      <c r="B42" s="14" t="n"/>
      <c r="C42" s="14" t="n"/>
      <c r="D42" s="14" t="n"/>
      <c r="E42" s="14" t="n"/>
      <c r="F42" s="14" t="n"/>
      <c r="G42" s="14" t="n"/>
      <c r="H42" s="14" t="n"/>
    </row>
    <row r="43">
      <c r="A43" s="48" t="inlineStr">
        <is>
          <t>EBITDA margin (% total income)</t>
        </is>
      </c>
      <c r="B43" s="56">
        <f>B27/B10</f>
        <v/>
      </c>
      <c r="C43" s="56">
        <f>C27/C10</f>
        <v/>
      </c>
      <c r="D43" s="56">
        <f>D27/D10</f>
        <v/>
      </c>
      <c r="E43" s="56">
        <f>E27/E10</f>
        <v/>
      </c>
      <c r="F43" s="56">
        <f>F27/F10</f>
        <v/>
      </c>
      <c r="G43" s="56">
        <f>G27/G10</f>
        <v/>
      </c>
    </row>
    <row r="44">
      <c r="A44" s="48" t="inlineStr">
        <is>
          <t>Operating EBIT margin (% revenue)</t>
        </is>
      </c>
      <c r="B44" s="56">
        <f>B29/B7</f>
        <v/>
      </c>
      <c r="C44" s="56">
        <f>C29/C7</f>
        <v/>
      </c>
      <c r="D44" s="56">
        <f>D29/D7</f>
        <v/>
      </c>
      <c r="E44" s="56">
        <f>E29/E7</f>
        <v/>
      </c>
      <c r="F44" s="56">
        <f>F29/F7</f>
        <v/>
      </c>
      <c r="G44" s="56">
        <f>G29/G7</f>
        <v/>
      </c>
    </row>
    <row r="45">
      <c r="A45" s="48" t="inlineStr">
        <is>
          <t>PAT margin (% total income)</t>
        </is>
      </c>
      <c r="B45" s="56">
        <f>B36/B10</f>
        <v/>
      </c>
      <c r="C45" s="56">
        <f>C36/C10</f>
        <v/>
      </c>
      <c r="D45" s="56">
        <f>D36/D10</f>
        <v/>
      </c>
      <c r="E45" s="56">
        <f>E36/E10</f>
        <v/>
      </c>
      <c r="F45" s="56">
        <f>F36/F10</f>
        <v/>
      </c>
      <c r="G45" s="56">
        <f>G36/G10</f>
        <v/>
      </c>
    </row>
  </sheetData>
  <mergeCells count="3">
    <mergeCell ref="A3:H3"/>
    <mergeCell ref="A2:H2"/>
    <mergeCell ref="A1:H1"/>
  </mergeCells>
  <pageMargins left="0.75" right="0.75" top="1" bottom="1" header="0.5" footer="0.5"/>
</worksheet>
</file>

<file path=xl/worksheets/sheet4.xml><?xml version="1.0" encoding="utf-8"?>
<worksheet xmlns="http://schemas.openxmlformats.org/spreadsheetml/2006/main">
  <sheetPr>
    <tabColor rgb="FFED7D31"/>
    <outlinePr summaryBelow="1" summaryRight="1"/>
    <pageSetUpPr/>
  </sheetPr>
  <dimension ref="A1:H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56" customWidth="1" min="8" max="8"/>
  </cols>
  <sheetData>
    <row r="1" ht="24" customHeight="1">
      <c r="A1" s="1" t="inlineStr">
        <is>
          <t>BSE Ltd — Consolidated Balance Sheet</t>
        </is>
      </c>
      <c r="B1" s="2" t="n"/>
      <c r="C1" s="2" t="n"/>
      <c r="D1" s="2" t="n"/>
      <c r="E1" s="2" t="n"/>
      <c r="F1" s="2" t="n"/>
      <c r="G1" s="2" t="n"/>
      <c r="H1" s="2" t="n"/>
    </row>
    <row r="2">
      <c r="A2" s="3" t="inlineStr">
        <is>
          <t>Own-account money is separated from EARMARKED clearing/settlement balances (members' money). Only own-account funds belong to shareholders and only they enter equity value.</t>
        </is>
      </c>
    </row>
    <row r="3">
      <c r="A3" s="4" t="inlineStr">
        <is>
          <t>Units: Rs Crore. Balance check must be 0 in projected years.</t>
        </is>
      </c>
    </row>
    <row r="4">
      <c r="B4" s="31" t="inlineStr">
        <is>
          <t>Actual</t>
        </is>
      </c>
      <c r="E4" s="32" t="inlineStr">
        <is>
          <t>Projected</t>
        </is>
      </c>
    </row>
    <row r="5">
      <c r="A5" s="5" t="inlineStr">
        <is>
          <t>Rs Crore / as marked</t>
        </is>
      </c>
      <c r="B5" s="33" t="inlineStr">
        <is>
          <t>FY24</t>
        </is>
      </c>
      <c r="C5" s="33" t="inlineStr">
        <is>
          <t>FY25</t>
        </is>
      </c>
      <c r="D5" s="33" t="inlineStr">
        <is>
          <t>FY26</t>
        </is>
      </c>
      <c r="E5" s="34" t="inlineStr">
        <is>
          <t>FY27E</t>
        </is>
      </c>
      <c r="F5" s="34" t="inlineStr">
        <is>
          <t>FY28E</t>
        </is>
      </c>
      <c r="G5" s="34" t="inlineStr">
        <is>
          <t>FY29E</t>
        </is>
      </c>
      <c r="H5" s="5" t="inlineStr">
        <is>
          <t>Source / formula basis</t>
        </is>
      </c>
    </row>
    <row r="6">
      <c r="A6" s="13" t="inlineStr">
        <is>
          <t>CAPEX &amp; DEPRECIATION SCHEDULE</t>
        </is>
      </c>
      <c r="B6" s="14" t="n"/>
      <c r="C6" s="14" t="n"/>
      <c r="D6" s="14" t="n"/>
      <c r="E6" s="14" t="n"/>
      <c r="F6" s="14" t="n"/>
      <c r="G6" s="14" t="n"/>
      <c r="H6" s="14" t="n"/>
    </row>
    <row r="7">
      <c r="A7" s="48" t="inlineStr">
        <is>
          <t>Net block — opening</t>
        </is>
      </c>
      <c r="E7" s="51">
        <f>D10</f>
        <v/>
      </c>
      <c r="F7" s="51">
        <f>E10</f>
        <v/>
      </c>
      <c r="G7" s="51">
        <f>F10</f>
        <v/>
      </c>
    </row>
    <row r="8">
      <c r="A8" s="15" t="inlineStr">
        <is>
          <t>Capex</t>
        </is>
      </c>
      <c r="B8" s="25" t="n">
        <v>131.32</v>
      </c>
      <c r="C8" s="25" t="n">
        <v>153.23</v>
      </c>
      <c r="D8" s="25" t="n">
        <v>515.16</v>
      </c>
      <c r="E8" s="53">
        <f>'Income Statement'!E7*Assumptions!$H$51</f>
        <v/>
      </c>
      <c r="F8" s="53">
        <f>'Income Statement'!F7*Assumptions!$H$51</f>
        <v/>
      </c>
      <c r="G8" s="53">
        <f>'Income Statement'!G7*Assumptions!$H$51</f>
        <v/>
      </c>
      <c r="H8" s="18" t="inlineStr">
        <is>
          <t>Projected = revenue x capex%. FY26 was elevated (data-centre).</t>
        </is>
      </c>
    </row>
    <row r="9">
      <c r="A9" s="15" t="inlineStr">
        <is>
          <t>Depreciation &amp; amortisation</t>
        </is>
      </c>
      <c r="B9" s="25" t="n">
        <v>95.44</v>
      </c>
      <c r="C9" s="25" t="n">
        <v>112.98</v>
      </c>
      <c r="D9" s="25" t="n">
        <v>158.96</v>
      </c>
      <c r="E9" s="53">
        <f>E7*Assumptions!$H$52</f>
        <v/>
      </c>
      <c r="F9" s="53">
        <f>F7*Assumptions!$H$52</f>
        <v/>
      </c>
      <c r="G9" s="53">
        <f>G7*Assumptions!$H$52</f>
        <v/>
      </c>
    </row>
    <row r="10">
      <c r="A10" s="35" t="inlineStr">
        <is>
          <t>Net block — closing (PPE + CWIP)</t>
        </is>
      </c>
      <c r="B10" s="55" t="n">
        <v>209.54</v>
      </c>
      <c r="C10" s="55" t="n">
        <v>262.9</v>
      </c>
      <c r="D10" s="55" t="n">
        <v>595.14</v>
      </c>
      <c r="E10" s="26">
        <f>E7+E8-E9</f>
        <v/>
      </c>
      <c r="F10" s="26">
        <f>F7+F8-F9</f>
        <v/>
      </c>
      <c r="G10" s="26">
        <f>G7+G8-G9</f>
        <v/>
      </c>
    </row>
    <row r="11">
      <c r="A11" s="13" t="inlineStr">
        <is>
          <t>ASSETS</t>
        </is>
      </c>
      <c r="B11" s="14" t="n"/>
      <c r="C11" s="14" t="n"/>
      <c r="D11" s="14" t="n"/>
      <c r="E11" s="14" t="n"/>
      <c r="F11" s="14" t="n"/>
      <c r="G11" s="14" t="n"/>
      <c r="H11" s="14" t="n"/>
    </row>
    <row r="12">
      <c r="A12" s="35" t="inlineStr">
        <is>
          <t>Own investible corpus (shareholders')</t>
        </is>
      </c>
      <c r="B12" s="25" t="n">
        <v>1415.28</v>
      </c>
      <c r="C12" s="52">
        <f>'Drivers &amp; History'!C16</f>
        <v/>
      </c>
      <c r="D12" s="52">
        <f>'Drivers &amp; History'!D16</f>
        <v/>
      </c>
      <c r="E12" s="52">
        <f>'Drivers &amp; History'!E16</f>
        <v/>
      </c>
      <c r="F12" s="52">
        <f>'Drivers &amp; History'!F16</f>
        <v/>
      </c>
      <c r="G12" s="52">
        <f>'Drivers &amp; History'!G16</f>
        <v/>
      </c>
      <c r="H12" s="49" t="inlineStr">
        <is>
          <t>Link to Drivers. THIS is what enters equity value.</t>
        </is>
      </c>
    </row>
    <row r="13">
      <c r="A13" s="15" t="inlineStr">
        <is>
          <t>Earmarked funds (members' — clearing/settlement)</t>
        </is>
      </c>
      <c r="B13" s="25" t="n">
        <v>4892.49</v>
      </c>
      <c r="C13" s="25" t="n">
        <v>4681.09</v>
      </c>
      <c r="D13" s="25" t="n">
        <v>5006.57</v>
      </c>
      <c r="E13" s="53">
        <f>D13*(1+Assumptions!$H$36)</f>
        <v/>
      </c>
      <c r="F13" s="53">
        <f>E13*(1+Assumptions!$H$36)</f>
        <v/>
      </c>
      <c r="G13" s="53">
        <f>F13*(1+Assumptions!$H$36)</f>
        <v/>
      </c>
      <c r="H13" s="49" t="inlineStr">
        <is>
          <t>NOT shareholders' money. Matched by an equal liability.</t>
        </is>
      </c>
    </row>
    <row r="14">
      <c r="A14" s="15" t="inlineStr">
        <is>
          <t>Trade receivables</t>
        </is>
      </c>
      <c r="B14" s="25" t="n">
        <v>210.87</v>
      </c>
      <c r="C14" s="25" t="n">
        <v>309.67</v>
      </c>
      <c r="D14" s="25" t="n">
        <v>553.16</v>
      </c>
      <c r="E14" s="53">
        <f>'Income Statement'!E7*Assumptions!$H$53/365</f>
        <v/>
      </c>
      <c r="F14" s="53">
        <f>'Income Statement'!F7*Assumptions!$H$53/365</f>
        <v/>
      </c>
      <c r="G14" s="53">
        <f>'Income Statement'!G7*Assumptions!$H$53/365</f>
        <v/>
      </c>
    </row>
    <row r="15">
      <c r="A15" s="15" t="inlineStr">
        <is>
          <t>Other assets (residual)</t>
        </is>
      </c>
      <c r="B15" s="25" t="n">
        <v>2722.05</v>
      </c>
      <c r="C15" s="25" t="n">
        <v>3413.13</v>
      </c>
      <c r="D15" s="25" t="n">
        <v>4205.31</v>
      </c>
      <c r="E15" s="53">
        <f>D15*(1+Assumptions!$H$34)</f>
        <v/>
      </c>
      <c r="F15" s="53">
        <f>E15*(1+Assumptions!$H$34)</f>
        <v/>
      </c>
      <c r="G15" s="53">
        <f>F15*(1+Assumptions!$H$34)</f>
        <v/>
      </c>
      <c r="H15" s="18" t="inlineStr">
        <is>
          <t>Asset-side residual so historical total ties to the reported figure.</t>
        </is>
      </c>
    </row>
    <row r="16">
      <c r="A16" s="5" t="inlineStr">
        <is>
          <t>TOTAL ASSETS</t>
        </is>
      </c>
      <c r="B16" s="26">
        <f>B10+B12+B13+B14+B15</f>
        <v/>
      </c>
      <c r="C16" s="26">
        <f>C10+C12+C13+C14+C15</f>
        <v/>
      </c>
      <c r="D16" s="26">
        <f>D10+D12+D13+D14+D15</f>
        <v/>
      </c>
      <c r="E16" s="26">
        <f>E10+E12+E13+E14+E15</f>
        <v/>
      </c>
      <c r="F16" s="26">
        <f>F10+F12+F13+F14+F15</f>
        <v/>
      </c>
      <c r="G16" s="26">
        <f>G10+G12+G13+G14+G15</f>
        <v/>
      </c>
    </row>
    <row r="17">
      <c r="A17" s="13" t="inlineStr">
        <is>
          <t>EQUITY &amp; LIABILITIES</t>
        </is>
      </c>
      <c r="B17" s="14" t="n"/>
      <c r="C17" s="14" t="n"/>
      <c r="D17" s="14" t="n"/>
      <c r="E17" s="14" t="n"/>
      <c r="F17" s="14" t="n"/>
      <c r="G17" s="14" t="n"/>
      <c r="H17" s="14" t="n"/>
    </row>
    <row r="18">
      <c r="A18" s="5" t="inlineStr">
        <is>
          <t>Total equity</t>
        </is>
      </c>
      <c r="B18" s="55" t="n">
        <v>3454.66</v>
      </c>
      <c r="C18" s="55" t="n">
        <v>4575.7</v>
      </c>
      <c r="D18" s="55" t="n">
        <v>6795.5</v>
      </c>
      <c r="E18" s="52">
        <f>D18+'Income Statement'!E37-'Income Statement'!E41</f>
        <v/>
      </c>
      <c r="F18" s="52">
        <f>E18+'Income Statement'!F37-'Income Statement'!F41</f>
        <v/>
      </c>
      <c r="G18" s="52">
        <f>F18+'Income Statement'!G37-'Income Statement'!G41</f>
        <v/>
      </c>
      <c r="H18" s="18" t="inlineStr">
        <is>
          <t>Prior + PAT attributable - dividend.</t>
        </is>
      </c>
    </row>
    <row r="19">
      <c r="A19" s="15" t="inlineStr">
        <is>
          <t>Earmarked liabilities (members' obligations)</t>
        </is>
      </c>
      <c r="B19" s="51">
        <f>B13</f>
        <v/>
      </c>
      <c r="C19" s="51">
        <f>C13</f>
        <v/>
      </c>
      <c r="D19" s="51">
        <f>D13</f>
        <v/>
      </c>
      <c r="E19" s="51">
        <f>E13</f>
        <v/>
      </c>
      <c r="F19" s="51">
        <f>F13</f>
        <v/>
      </c>
      <c r="G19" s="51">
        <f>G13</f>
        <v/>
      </c>
      <c r="H19" s="18" t="inlineStr">
        <is>
          <t>Set equal to earmarked assets — a pass-through, not leverage.</t>
        </is>
      </c>
    </row>
    <row r="20">
      <c r="A20" s="15" t="inlineStr">
        <is>
          <t>Own payables &amp; provisions</t>
        </is>
      </c>
      <c r="B20" s="25" t="n">
        <v>0</v>
      </c>
      <c r="C20" s="25" t="n">
        <v>0</v>
      </c>
      <c r="D20" s="25" t="n">
        <v>0</v>
      </c>
      <c r="E20" s="53">
        <f>'Income Statement'!E19*Assumptions!$H$54</f>
        <v/>
      </c>
      <c r="F20" s="53">
        <f>'Income Statement'!F19*Assumptions!$H$54</f>
        <v/>
      </c>
      <c r="G20" s="53">
        <f>'Income Statement'!G19*Assumptions!$H$54</f>
        <v/>
      </c>
      <c r="H20" s="18" t="inlineStr">
        <is>
          <t>Driven off the COST base, not revenue (v1 error B16).</t>
        </is>
      </c>
    </row>
    <row r="21">
      <c r="A21" s="15" t="inlineStr">
        <is>
          <t>Other liabilities (residual / plug)</t>
        </is>
      </c>
      <c r="B21" s="25" t="n">
        <v>1103.08</v>
      </c>
      <c r="C21" s="25" t="n">
        <v>1084.86</v>
      </c>
      <c r="D21" s="25" t="n">
        <v>1644.07</v>
      </c>
      <c r="E21" s="51">
        <f>E16-E18-E19-E20</f>
        <v/>
      </c>
      <c r="F21" s="51">
        <f>F16-F18-F19-F20</f>
        <v/>
      </c>
      <c r="G21" s="51">
        <f>G16-G18-G19-G20</f>
        <v/>
      </c>
      <c r="H21" s="18" t="inlineStr">
        <is>
          <t>Balancing item so the sheet balances identically.</t>
        </is>
      </c>
    </row>
    <row r="22">
      <c r="A22" s="5" t="inlineStr">
        <is>
          <t>TOTAL EQUITY &amp; LIABILITIES</t>
        </is>
      </c>
      <c r="B22" s="26">
        <f>B18+B19+B20+B21</f>
        <v/>
      </c>
      <c r="C22" s="26">
        <f>C18+C19+C20+C21</f>
        <v/>
      </c>
      <c r="D22" s="26">
        <f>D18+D19+D20+D21</f>
        <v/>
      </c>
      <c r="E22" s="26">
        <f>E18+E19+E20+E21</f>
        <v/>
      </c>
      <c r="F22" s="26">
        <f>F18+F19+F20+F21</f>
        <v/>
      </c>
      <c r="G22" s="26">
        <f>G18+G19+G20+G21</f>
        <v/>
      </c>
    </row>
    <row r="23">
      <c r="A23" s="5" t="inlineStr">
        <is>
          <t>BALANCE CHECK (Assets - E&amp;L)</t>
        </is>
      </c>
      <c r="B23" s="26">
        <f>B16-B22</f>
        <v/>
      </c>
      <c r="C23" s="26">
        <f>C16-C22</f>
        <v/>
      </c>
      <c r="D23" s="26">
        <f>D16-D22</f>
        <v/>
      </c>
      <c r="E23" s="26">
        <f>E16-E22</f>
        <v/>
      </c>
      <c r="F23" s="26">
        <f>F16-F22</f>
        <v/>
      </c>
      <c r="G23" s="26">
        <f>G16-G22</f>
        <v/>
      </c>
    </row>
  </sheetData>
  <mergeCells count="3">
    <mergeCell ref="A3:H3"/>
    <mergeCell ref="A2:H2"/>
    <mergeCell ref="A1:H1"/>
  </mergeCells>
  <pageMargins left="0.75" right="0.75" top="1" bottom="1" header="0.5" footer="0.5"/>
</worksheet>
</file>

<file path=xl/worksheets/sheet5.xml><?xml version="1.0" encoding="utf-8"?>
<worksheet xmlns="http://schemas.openxmlformats.org/spreadsheetml/2006/main">
  <sheetPr>
    <tabColor rgb="FF7F7F7F"/>
    <outlinePr summaryBelow="1" summaryRight="1"/>
    <pageSetUpPr/>
  </sheetPr>
  <dimension ref="A1:H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56" customWidth="1" min="8" max="8"/>
  </cols>
  <sheetData>
    <row r="1" ht="24" customHeight="1">
      <c r="A1" s="1" t="inlineStr">
        <is>
          <t>BSE Ltd — Cash Flow: headline vs OWN-ACCOUNT</t>
        </is>
      </c>
      <c r="B1" s="2" t="n"/>
      <c r="C1" s="2" t="n"/>
      <c r="D1" s="2" t="n"/>
      <c r="E1" s="2" t="n"/>
      <c r="F1" s="2" t="n"/>
      <c r="G1" s="2" t="n"/>
      <c r="H1" s="2" t="n"/>
    </row>
    <row r="2">
      <c r="A2" s="3" t="inlineStr">
        <is>
          <t>The report's central cash finding: conversion is 1.272 headline and 0.712 own-account — the printed number is 78.7% too high, because reported CFO absorbs movements in members' clearing float that are not shareholders' cash. This tab separates the two.</t>
        </is>
      </c>
    </row>
    <row r="3">
      <c r="A3" s="4" t="inlineStr">
        <is>
          <t>Units: Rs Crore.</t>
        </is>
      </c>
    </row>
    <row r="4">
      <c r="B4" s="31" t="inlineStr">
        <is>
          <t>Actual</t>
        </is>
      </c>
      <c r="E4" s="32" t="inlineStr">
        <is>
          <t>Projected</t>
        </is>
      </c>
    </row>
    <row r="5">
      <c r="A5" s="5" t="inlineStr">
        <is>
          <t>Rs Crore / as marked</t>
        </is>
      </c>
      <c r="B5" s="33" t="inlineStr">
        <is>
          <t>FY24</t>
        </is>
      </c>
      <c r="C5" s="33" t="inlineStr">
        <is>
          <t>FY25</t>
        </is>
      </c>
      <c r="D5" s="33" t="inlineStr">
        <is>
          <t>FY26</t>
        </is>
      </c>
      <c r="E5" s="34" t="inlineStr">
        <is>
          <t>FY27E</t>
        </is>
      </c>
      <c r="F5" s="34" t="inlineStr">
        <is>
          <t>FY28E</t>
        </is>
      </c>
      <c r="G5" s="34" t="inlineStr">
        <is>
          <t>FY29E</t>
        </is>
      </c>
      <c r="H5" s="5" t="inlineStr">
        <is>
          <t>Source / formula basis</t>
        </is>
      </c>
    </row>
    <row r="6">
      <c r="A6" s="13" t="inlineStr">
        <is>
          <t>OPERATING CASH FLOW</t>
        </is>
      </c>
      <c r="B6" s="14" t="n"/>
      <c r="C6" s="14" t="n"/>
      <c r="D6" s="14" t="n"/>
      <c r="E6" s="14" t="n"/>
      <c r="F6" s="14" t="n"/>
      <c r="G6" s="14" t="n"/>
      <c r="H6" s="14" t="n"/>
    </row>
    <row r="7">
      <c r="A7" s="15" t="inlineStr">
        <is>
          <t>PAT attributable</t>
        </is>
      </c>
      <c r="B7" s="53">
        <f>'Income Statement'!B37</f>
        <v/>
      </c>
      <c r="C7" s="53">
        <f>'Income Statement'!C37</f>
        <v/>
      </c>
      <c r="D7" s="53">
        <f>'Income Statement'!D37</f>
        <v/>
      </c>
      <c r="E7" s="53">
        <f>'Income Statement'!E37</f>
        <v/>
      </c>
      <c r="F7" s="53">
        <f>'Income Statement'!F37</f>
        <v/>
      </c>
      <c r="G7" s="53">
        <f>'Income Statement'!G37</f>
        <v/>
      </c>
    </row>
    <row r="8">
      <c r="A8" s="15" t="inlineStr">
        <is>
          <t>add: D&amp;A</t>
        </is>
      </c>
      <c r="B8" s="53">
        <f>'Income Statement'!B16</f>
        <v/>
      </c>
      <c r="C8" s="53">
        <f>'Income Statement'!C16</f>
        <v/>
      </c>
      <c r="D8" s="53">
        <f>'Income Statement'!D16</f>
        <v/>
      </c>
      <c r="E8" s="53">
        <f>'Income Statement'!E16</f>
        <v/>
      </c>
      <c r="F8" s="53">
        <f>'Income Statement'!F16</f>
        <v/>
      </c>
      <c r="G8" s="53">
        <f>'Income Statement'!G16</f>
        <v/>
      </c>
    </row>
    <row r="9">
      <c r="A9" s="15" t="inlineStr">
        <is>
          <t>less: increase in receivables</t>
        </is>
      </c>
      <c r="C9" s="53">
        <f>-('Balance Sheet'!C14-'Balance Sheet'!B14)</f>
        <v/>
      </c>
      <c r="D9" s="53">
        <f>-('Balance Sheet'!D14-'Balance Sheet'!C14)</f>
        <v/>
      </c>
      <c r="E9" s="53">
        <f>-('Balance Sheet'!E14-'Balance Sheet'!D14)</f>
        <v/>
      </c>
      <c r="F9" s="53">
        <f>-('Balance Sheet'!F14-'Balance Sheet'!E14)</f>
        <v/>
      </c>
      <c r="G9" s="53">
        <f>-('Balance Sheet'!G14-'Balance Sheet'!F14)</f>
        <v/>
      </c>
    </row>
    <row r="10">
      <c r="A10" s="15" t="inlineStr">
        <is>
          <t>add: increase in EARMARKED float (members' money)</t>
        </is>
      </c>
      <c r="C10" s="53">
        <f>('Balance Sheet'!C13-'Balance Sheet'!B13)</f>
        <v/>
      </c>
      <c r="D10" s="53">
        <f>('Balance Sheet'!D13-'Balance Sheet'!C13)</f>
        <v/>
      </c>
      <c r="E10" s="53">
        <f>('Balance Sheet'!E13-'Balance Sheet'!D13)</f>
        <v/>
      </c>
      <c r="F10" s="53">
        <f>('Balance Sheet'!F13-'Balance Sheet'!E13)</f>
        <v/>
      </c>
      <c r="G10" s="53">
        <f>('Balance Sheet'!G13-'Balance Sheet'!F13)</f>
        <v/>
      </c>
      <c r="H10" s="49" t="inlineStr">
        <is>
          <t>THIS is the line that inflates headline CFO. It is not shareholders' cash.</t>
        </is>
      </c>
    </row>
    <row r="11">
      <c r="A11" s="5" t="inlineStr">
        <is>
          <t>CFO — HEADLINE (as reported basis)</t>
        </is>
      </c>
      <c r="C11" s="26">
        <f>C7+C8+C9+C10</f>
        <v/>
      </c>
      <c r="D11" s="26">
        <f>D7+D8+D9+D10</f>
        <v/>
      </c>
      <c r="E11" s="26">
        <f>E7+E8+E9+E10</f>
        <v/>
      </c>
      <c r="F11" s="26">
        <f>F7+F8+F9+F10</f>
        <v/>
      </c>
      <c r="G11" s="26">
        <f>G7+G8+G9+G10</f>
        <v/>
      </c>
    </row>
    <row r="12">
      <c r="A12" s="5" t="inlineStr">
        <is>
          <t>CFO — OWN ACCOUNT (float movement removed)</t>
        </is>
      </c>
      <c r="C12" s="26">
        <f>C11-C10</f>
        <v/>
      </c>
      <c r="D12" s="26">
        <f>D11-D10</f>
        <v/>
      </c>
      <c r="E12" s="26">
        <f>E11-E10</f>
        <v/>
      </c>
      <c r="F12" s="26">
        <f>F11-F10</f>
        <v/>
      </c>
      <c r="G12" s="26">
        <f>G11-G10</f>
        <v/>
      </c>
      <c r="H12" s="49" t="inlineStr">
        <is>
          <t>The number an owner can spend.</t>
        </is>
      </c>
    </row>
    <row r="13">
      <c r="A13" s="13" t="inlineStr">
        <is>
          <t>INVESTING &amp; FREE CASH FLOW</t>
        </is>
      </c>
      <c r="B13" s="14" t="n"/>
      <c r="C13" s="14" t="n"/>
      <c r="D13" s="14" t="n"/>
      <c r="E13" s="14" t="n"/>
      <c r="F13" s="14" t="n"/>
      <c r="G13" s="14" t="n"/>
      <c r="H13" s="14" t="n"/>
    </row>
    <row r="14">
      <c r="A14" s="15" t="inlineStr">
        <is>
          <t>less: capex</t>
        </is>
      </c>
      <c r="B14" s="53">
        <f>-'Balance Sheet'!B8</f>
        <v/>
      </c>
      <c r="C14" s="53">
        <f>-'Balance Sheet'!C8</f>
        <v/>
      </c>
      <c r="D14" s="53">
        <f>-'Balance Sheet'!D8</f>
        <v/>
      </c>
      <c r="E14" s="53">
        <f>-'Balance Sheet'!E8</f>
        <v/>
      </c>
      <c r="F14" s="53">
        <f>-'Balance Sheet'!F8</f>
        <v/>
      </c>
      <c r="G14" s="53">
        <f>-'Balance Sheet'!G8</f>
        <v/>
      </c>
    </row>
    <row r="15">
      <c r="A15" s="5" t="inlineStr">
        <is>
          <t>OWN-ACCOUNT FREE CASH FLOW</t>
        </is>
      </c>
      <c r="C15" s="26">
        <f>C12+C14</f>
        <v/>
      </c>
      <c r="D15" s="26">
        <f>D12+D14</f>
        <v/>
      </c>
      <c r="E15" s="26">
        <f>E12+E14</f>
        <v/>
      </c>
      <c r="F15" s="26">
        <f>F12+F14</f>
        <v/>
      </c>
      <c r="G15" s="26">
        <f>G12+G14</f>
        <v/>
      </c>
    </row>
    <row r="16">
      <c r="A16" s="15" t="inlineStr">
        <is>
          <t>less: dividend</t>
        </is>
      </c>
      <c r="B16" s="53">
        <f>-'Income Statement'!B41</f>
        <v/>
      </c>
      <c r="C16" s="53">
        <f>-'Income Statement'!C41</f>
        <v/>
      </c>
      <c r="D16" s="53">
        <f>-'Income Statement'!D41</f>
        <v/>
      </c>
      <c r="E16" s="53">
        <f>-'Income Statement'!E41</f>
        <v/>
      </c>
      <c r="F16" s="53">
        <f>-'Income Statement'!F41</f>
        <v/>
      </c>
      <c r="G16" s="53">
        <f>-'Income Statement'!G41</f>
        <v/>
      </c>
    </row>
    <row r="17">
      <c r="A17" s="13" t="inlineStr">
        <is>
          <t>CONVERSION TESTS</t>
        </is>
      </c>
      <c r="B17" s="14" t="n"/>
      <c r="C17" s="14" t="n"/>
      <c r="D17" s="14" t="n"/>
      <c r="E17" s="14" t="n"/>
      <c r="F17" s="14" t="n"/>
      <c r="G17" s="14" t="n"/>
      <c r="H17" s="14" t="n"/>
    </row>
    <row r="18">
      <c r="A18" s="48" t="inlineStr">
        <is>
          <t>Headline CFO / PAT</t>
        </is>
      </c>
      <c r="C18" s="57">
        <f>C11/C7</f>
        <v/>
      </c>
      <c r="D18" s="57">
        <f>D11/D7</f>
        <v/>
      </c>
      <c r="E18" s="57">
        <f>E11/E7</f>
        <v/>
      </c>
      <c r="F18" s="57">
        <f>F11/F7</f>
        <v/>
      </c>
      <c r="G18" s="57">
        <f>G11/G7</f>
        <v/>
      </c>
      <c r="H18" s="18" t="inlineStr">
        <is>
          <t>Ten-year cumulative reported basis = 1.272.</t>
        </is>
      </c>
    </row>
    <row r="19">
      <c r="A19" s="35" t="inlineStr">
        <is>
          <t>Own-account CFO / PAT</t>
        </is>
      </c>
      <c r="C19" s="58">
        <f>C12/C7</f>
        <v/>
      </c>
      <c r="D19" s="58">
        <f>D12/D7</f>
        <v/>
      </c>
      <c r="E19" s="58">
        <f>E12/E7</f>
        <v/>
      </c>
      <c r="F19" s="58">
        <f>F12/F7</f>
        <v/>
      </c>
      <c r="G19" s="58">
        <f>G12/G7</f>
        <v/>
      </c>
      <c r="H19" s="49" t="inlineStr">
        <is>
          <t>Ten-year cumulative own-account basis = 0.712. 1.272/0.712 = 1.787 -&gt; the printed figure is 78.7% too high.</t>
        </is>
      </c>
    </row>
  </sheetData>
  <mergeCells count="3">
    <mergeCell ref="A3:H3"/>
    <mergeCell ref="A2:H2"/>
    <mergeCell ref="A1:H1"/>
  </mergeCells>
  <pageMargins left="0.75" right="0.75" top="1" bottom="1" header="0.5" footer="0.5"/>
</worksheet>
</file>

<file path=xl/worksheets/sheet6.xml><?xml version="1.0" encoding="utf-8"?>
<worksheet xmlns="http://schemas.openxmlformats.org/spreadsheetml/2006/main">
  <sheetPr>
    <tabColor rgb="FF70AD47"/>
    <outlinePr summaryBelow="1" summaryRight="1"/>
    <pageSetUpPr/>
  </sheetPr>
  <dimension ref="A1:H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56" customWidth="1" min="8" max="8"/>
  </cols>
  <sheetData>
    <row r="1" ht="24" customHeight="1">
      <c r="A1" s="1" t="inlineStr">
        <is>
          <t>BSE Ltd — Segment Revenue Build</t>
        </is>
      </c>
      <c r="B1" s="2" t="n"/>
      <c r="C1" s="2" t="n"/>
      <c r="D1" s="2" t="n"/>
      <c r="E1" s="2" t="n"/>
      <c r="F1" s="2" t="n"/>
      <c r="G1" s="2" t="n"/>
      <c r="H1" s="2" t="n"/>
    </row>
    <row r="2">
      <c r="A2" s="3" t="inlineStr">
        <is>
          <t>Derivatives = premium ADT x realisation. Cash = cash ADT x realisation. WARNING: the product split is UNAUDITED — it exists only in the MD&amp;A. The audited Note 22 stops at one aggregate (78.51% of revenue in a single line). NOT-DISCLOSED -&gt; Ind AS 115.114 disaggregation note.</t>
        </is>
      </c>
    </row>
    <row r="3">
      <c r="A3" s="4" t="inlineStr">
        <is>
          <t>Units: Rs Crore. Historical = STANDALONE MD&amp;A split; consolidated via an explicit scalar.</t>
        </is>
      </c>
    </row>
    <row r="4">
      <c r="B4" s="31" t="inlineStr">
        <is>
          <t>Actual</t>
        </is>
      </c>
      <c r="E4" s="32" t="inlineStr">
        <is>
          <t>Projected</t>
        </is>
      </c>
    </row>
    <row r="5">
      <c r="A5" s="5" t="inlineStr">
        <is>
          <t>Rs Crore / as marked</t>
        </is>
      </c>
      <c r="B5" s="33" t="inlineStr">
        <is>
          <t>FY24</t>
        </is>
      </c>
      <c r="C5" s="33" t="inlineStr">
        <is>
          <t>FY25</t>
        </is>
      </c>
      <c r="D5" s="33" t="inlineStr">
        <is>
          <t>FY26</t>
        </is>
      </c>
      <c r="E5" s="34" t="inlineStr">
        <is>
          <t>FY27E</t>
        </is>
      </c>
      <c r="F5" s="34" t="inlineStr">
        <is>
          <t>FY28E</t>
        </is>
      </c>
      <c r="G5" s="34" t="inlineStr">
        <is>
          <t>FY29E</t>
        </is>
      </c>
      <c r="H5" s="5" t="inlineStr">
        <is>
          <t>Source / formula basis</t>
        </is>
      </c>
    </row>
    <row r="6">
      <c r="A6" s="13" t="inlineStr">
        <is>
          <t>TRANSACTION CHARGES</t>
        </is>
      </c>
      <c r="B6" s="14" t="n"/>
      <c r="C6" s="14" t="n"/>
      <c r="D6" s="14" t="n"/>
      <c r="E6" s="14" t="n"/>
      <c r="F6" s="14" t="n"/>
      <c r="G6" s="14" t="n"/>
      <c r="H6" s="14" t="n"/>
    </row>
    <row r="7">
      <c r="A7" s="15" t="inlineStr">
        <is>
          <t>Equity derivatives txn charges</t>
        </is>
      </c>
      <c r="C7" s="25" t="n">
        <v>1415.54</v>
      </c>
      <c r="D7" s="25" t="n">
        <v>3134.37</v>
      </c>
      <c r="E7" s="53">
        <f>'Drivers &amp; History'!E7*Assumptions!$H$11</f>
        <v/>
      </c>
      <c r="F7" s="53">
        <f>'Drivers &amp; History'!F7*Assumptions!$H$11</f>
        <v/>
      </c>
      <c r="G7" s="53">
        <f>'Drivers &amp; History'!G7*Assumptions!$H$11</f>
        <v/>
      </c>
      <c r="H7" s="18" t="inlineStr">
        <is>
          <t xml:space="preserve"> = premium ADT x realisation. 64.84% of consolidated revenue — one product, one index, one regulator-allocated weekly expiry slot.</t>
        </is>
      </c>
    </row>
    <row r="8">
      <c r="A8" s="15" t="inlineStr">
        <is>
          <t>Equity cash txn charges</t>
        </is>
      </c>
      <c r="C8" s="25" t="n">
        <v>303.56</v>
      </c>
      <c r="D8" s="25" t="n">
        <v>250.21</v>
      </c>
      <c r="E8" s="53">
        <f>'Drivers &amp; History'!E14*Assumptions!$H$20</f>
        <v/>
      </c>
      <c r="F8" s="53">
        <f>'Drivers &amp; History'!F14*Assumptions!$H$20</f>
        <v/>
      </c>
      <c r="G8" s="53">
        <f>'Drivers &amp; History'!G14*Assumptions!$H$20</f>
        <v/>
      </c>
      <c r="H8" s="18" t="inlineStr">
        <is>
          <t xml:space="preserve"> = cash ADT x realisation. FY26 fell 18% on RISING volume — a repricing.</t>
        </is>
      </c>
    </row>
    <row r="9">
      <c r="A9" s="15" t="inlineStr">
        <is>
          <t>Currency derivatives txn charges</t>
        </is>
      </c>
      <c r="B9" s="25" t="n">
        <v>0</v>
      </c>
      <c r="C9" s="25" t="n">
        <v>0</v>
      </c>
      <c r="D9" s="25" t="n">
        <v>0</v>
      </c>
      <c r="E9" s="53">
        <f>Assumptions!$H$27</f>
        <v/>
      </c>
      <c r="F9" s="53">
        <f>Assumptions!$H$27</f>
        <v/>
      </c>
      <c r="G9" s="53">
        <f>Assumptions!$H$27</f>
        <v/>
      </c>
      <c r="H9" s="18" t="inlineStr">
        <is>
          <t>EXTINGUISHED by RBI direction (Rs9,734cr ADT -&gt; nil).</t>
        </is>
      </c>
    </row>
    <row r="10">
      <c r="A10" s="15" t="inlineStr">
        <is>
          <t>SLB txn charges</t>
        </is>
      </c>
      <c r="B10" s="25" t="n">
        <v>0</v>
      </c>
      <c r="C10" s="25" t="n">
        <v>0</v>
      </c>
      <c r="D10" s="25" t="n">
        <v>0</v>
      </c>
      <c r="E10" s="53">
        <f>Assumptions!$H$28</f>
        <v/>
      </c>
      <c r="F10" s="53">
        <f>Assumptions!$H$28</f>
        <v/>
      </c>
      <c r="G10" s="53">
        <f>Assumptions!$H$28</f>
        <v/>
      </c>
      <c r="H10" s="18" t="inlineStr">
        <is>
          <t>NOT-DISCLOSED separately; immaterial.</t>
        </is>
      </c>
    </row>
    <row r="11">
      <c r="A11" s="15" t="inlineStr">
        <is>
          <t>StAR MF platform fees</t>
        </is>
      </c>
      <c r="C11" s="25" t="n">
        <v>230.77</v>
      </c>
      <c r="D11" s="25" t="n">
        <v>284.9</v>
      </c>
      <c r="E11" s="53">
        <f>D11*(1+Assumptions!$H$22)</f>
        <v/>
      </c>
      <c r="F11" s="53">
        <f>E11*(1+Assumptions!$H$22)</f>
        <v/>
      </c>
      <c r="G11" s="53">
        <f>F11*(1+Assumptions!$H$22)</f>
        <v/>
      </c>
      <c r="H11" s="18" t="inlineStr">
        <is>
          <t>MF distribution platform. Realisation per order is FALLING (-2.56%, then -6.33%).</t>
        </is>
      </c>
    </row>
    <row r="12">
      <c r="A12" s="5" t="inlineStr">
        <is>
          <t>Transaction charges — total</t>
        </is>
      </c>
      <c r="B12" s="26">
        <f>B7+B8+B9+B10+B11</f>
        <v/>
      </c>
      <c r="C12" s="26">
        <f>C7+C8+C9+C10+C11</f>
        <v/>
      </c>
      <c r="D12" s="26">
        <f>D7+D8+D9+D10+D11</f>
        <v/>
      </c>
      <c r="E12" s="26">
        <f>E7+E8+E9+E10+E11</f>
        <v/>
      </c>
      <c r="F12" s="26">
        <f>F7+F8+F9+F10+F11</f>
        <v/>
      </c>
      <c r="G12" s="26">
        <f>G7+G8+G9+G10+G11</f>
        <v/>
      </c>
      <c r="H12" s="18" t="inlineStr">
        <is>
          <t>Sum of components. Drives the Core SGF policy charge.</t>
        </is>
      </c>
    </row>
    <row r="13">
      <c r="A13" s="13" t="inlineStr">
        <is>
          <t>NON-TRANSACTION REVENUE</t>
        </is>
      </c>
      <c r="B13" s="14" t="n"/>
      <c r="C13" s="14" t="n"/>
      <c r="D13" s="14" t="n"/>
      <c r="E13" s="14" t="n"/>
      <c r="F13" s="14" t="n"/>
      <c r="G13" s="14" t="n"/>
      <c r="H13" s="14" t="n"/>
    </row>
    <row r="14">
      <c r="A14" s="15" t="inlineStr">
        <is>
          <t>Listing fees (annual + processing)</t>
        </is>
      </c>
      <c r="C14" s="25" t="n">
        <v>353.28</v>
      </c>
      <c r="D14" s="25" t="n">
        <v>388.61</v>
      </c>
      <c r="E14" s="53">
        <f>D14*(1+Assumptions!$H$23)</f>
        <v/>
      </c>
      <c r="F14" s="53">
        <f>E14*(1+Assumptions!$H$23)</f>
        <v/>
      </c>
      <c r="G14" s="53">
        <f>F14*(1+Assumptions!$H$23)</f>
        <v/>
      </c>
      <c r="H14" s="18" t="inlineStr">
        <is>
          <t>The ONLY line whose realisation rose (+4.01% per listed company).</t>
        </is>
      </c>
    </row>
    <row r="15">
      <c r="A15" s="15" t="inlineStr">
        <is>
          <t>Book building / IPO fees</t>
        </is>
      </c>
      <c r="C15" s="25" t="n">
        <v>95.36</v>
      </c>
      <c r="D15" s="25" t="n">
        <v>104.12</v>
      </c>
      <c r="E15" s="53">
        <f>D15*(1+Assumptions!$H$24)</f>
        <v/>
      </c>
      <c r="F15" s="53">
        <f>E15*(1+Assumptions!$H$24)</f>
        <v/>
      </c>
      <c r="G15" s="53">
        <f>F15*(1+Assumptions!$H$24)</f>
        <v/>
      </c>
      <c r="H15" s="18" t="inlineStr">
        <is>
          <t>Cyclical with the IPO pipeline.</t>
        </is>
      </c>
    </row>
    <row r="16">
      <c r="A16" s="15" t="inlineStr">
        <is>
          <t>Data feed &amp; index licensing income</t>
        </is>
      </c>
      <c r="C16" s="25" t="n">
        <v>72.62</v>
      </c>
      <c r="D16" s="25" t="n">
        <v>168.99</v>
      </c>
      <c r="E16" s="53">
        <f>D16*(1+Assumptions!$H$25)</f>
        <v/>
      </c>
      <c r="F16" s="53">
        <f>E16*(1+Assumptions!$H$25)</f>
        <v/>
      </c>
      <c r="G16" s="53">
        <f>F16*(1+Assumptions!$H$25)</f>
        <v/>
      </c>
      <c r="H16" s="18" t="inlineStr">
        <is>
          <t>Colocation + Asia Index/S&amp;P BSE licensing. FY26 colocation +133% off a small base.</t>
        </is>
      </c>
    </row>
    <row r="17">
      <c r="A17" s="15" t="inlineStr">
        <is>
          <t>Other operating income (residual)</t>
        </is>
      </c>
      <c r="C17" s="25" t="n">
        <v>95.44</v>
      </c>
      <c r="D17" s="25" t="n">
        <v>112.11</v>
      </c>
      <c r="E17" s="53">
        <f>D17*(1+Assumptions!$H$26)</f>
        <v/>
      </c>
      <c r="F17" s="53">
        <f>E17*(1+Assumptions!$H$26)</f>
        <v/>
      </c>
      <c r="G17" s="53">
        <f>F17*(1+Assumptions!$H$26)</f>
        <v/>
      </c>
      <c r="H17" s="18" t="inlineStr">
        <is>
          <t>Other operating income less colocation.</t>
        </is>
      </c>
    </row>
    <row r="18">
      <c r="A18" s="13" t="inlineStr">
        <is>
          <t>REVENUE FROM OPERATIONS</t>
        </is>
      </c>
      <c r="B18" s="14" t="n"/>
      <c r="C18" s="14" t="n"/>
      <c r="D18" s="14" t="n"/>
      <c r="E18" s="14" t="n"/>
      <c r="F18" s="14" t="n"/>
      <c r="G18" s="14" t="n"/>
      <c r="H18" s="14" t="n"/>
    </row>
    <row r="19">
      <c r="A19" s="5" t="inlineStr">
        <is>
          <t>Revenue from operations — standalone build</t>
        </is>
      </c>
      <c r="B19" s="26">
        <f>B12+B14+B15+B16+B17</f>
        <v/>
      </c>
      <c r="C19" s="26">
        <f>C12+C14+C15+C16+C17</f>
        <v/>
      </c>
      <c r="D19" s="26">
        <f>D12+D14+D15+D16+D17</f>
        <v/>
      </c>
      <c r="E19" s="26">
        <f>E12+E14+E15+E16+E17</f>
        <v/>
      </c>
      <c r="F19" s="26">
        <f>F12+F14+F15+F16+F17</f>
        <v/>
      </c>
      <c r="G19" s="26">
        <f>G12+G14+G15+G16+G17</f>
        <v/>
      </c>
    </row>
    <row r="20">
      <c r="A20" s="48" t="inlineStr">
        <is>
          <t>Consolidation scalar (consol / standalone)</t>
        </is>
      </c>
      <c r="C20" s="57">
        <f>2957.34/C19</f>
        <v/>
      </c>
      <c r="D20" s="57">
        <f>4833.95/D19</f>
        <v/>
      </c>
      <c r="E20" s="57">
        <f>$D$20</f>
        <v/>
      </c>
      <c r="F20" s="57">
        <f>$D$20</f>
        <v/>
      </c>
      <c r="G20" s="57">
        <f>$D$20</f>
        <v/>
      </c>
      <c r="H20" s="18" t="inlineStr">
        <is>
          <t>FY26 1.0815 held flat (documented anchor). Subsidiaries ICCL/India INX/BSE Institute/BSE Technologies supply 7.5% of consolidated revenue.</t>
        </is>
      </c>
    </row>
    <row r="21">
      <c r="A21" s="5" t="inlineStr">
        <is>
          <t>REVENUE FROM OPERATIONS — consolidated</t>
        </is>
      </c>
      <c r="B21" s="55" t="n">
        <v>1390.03</v>
      </c>
      <c r="C21" s="26">
        <f>C19*C20</f>
        <v/>
      </c>
      <c r="D21" s="26">
        <f>D19*D20</f>
        <v/>
      </c>
      <c r="E21" s="26">
        <f>E19*E20</f>
        <v/>
      </c>
      <c r="F21" s="26">
        <f>F19*F20</f>
        <v/>
      </c>
      <c r="G21" s="26">
        <f>G19*G20</f>
        <v/>
      </c>
      <c r="H21" s="18" t="inlineStr">
        <is>
          <t>FY24 = direct actual (no split disclosed). Feeds the Income Statement.</t>
        </is>
      </c>
    </row>
    <row r="22">
      <c r="A22" s="13" t="inlineStr">
        <is>
          <t>INVESTMENT / TREASURY INCOME (own account only)</t>
        </is>
      </c>
      <c r="B22" s="14" t="n"/>
      <c r="C22" s="14" t="n"/>
      <c r="D22" s="14" t="n"/>
      <c r="E22" s="14" t="n"/>
      <c r="F22" s="14" t="n"/>
      <c r="G22" s="14" t="n"/>
      <c r="H22" s="14" t="n"/>
    </row>
    <row r="23">
      <c r="A23" s="5" t="inlineStr">
        <is>
          <t>Investment income (own corpus)</t>
        </is>
      </c>
      <c r="B23" s="55" t="n">
        <v>202.47</v>
      </c>
      <c r="C23" s="55" t="n">
        <v>254.7</v>
      </c>
      <c r="D23" s="55" t="n">
        <v>290.3</v>
      </c>
      <c r="E23" s="52">
        <f>'Drivers &amp; History'!E17*Assumptions!$H$35</f>
        <v/>
      </c>
      <c r="F23" s="52">
        <f>'Drivers &amp; History'!F17*Assumptions!$H$35</f>
        <v/>
      </c>
      <c r="G23" s="52">
        <f>'Drivers &amp; History'!G17*Assumptions!$H$35</f>
        <v/>
      </c>
      <c r="H23" s="49" t="inlineStr">
        <is>
          <t xml:space="preserve"> = average own corpus x own yield. FY26 4,885.84 x 5.942% = 290.30 (actual 290.30). EXCLUDED from FCFF — the corpus is added once in the DCF bridge instead.</t>
        </is>
      </c>
    </row>
  </sheetData>
  <mergeCells count="3">
    <mergeCell ref="A3:H3"/>
    <mergeCell ref="A2:H2"/>
    <mergeCell ref="A1:H1"/>
  </mergeCells>
  <pageMargins left="0.75" right="0.75" top="1" bottom="1" header="0.5" footer="0.5"/>
</worksheet>
</file>

<file path=xl/worksheets/sheet7.xml><?xml version="1.0" encoding="utf-8"?>
<worksheet xmlns="http://schemas.openxmlformats.org/spreadsheetml/2006/main">
  <sheetPr>
    <tabColor rgb="FF7030A0"/>
    <outlinePr summaryBelow="1" summaryRight="1"/>
    <pageSetUpPr/>
  </sheetPr>
  <dimension ref="A1:H5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56" customWidth="1" min="8" max="8"/>
  </cols>
  <sheetData>
    <row r="1" ht="24" customHeight="1">
      <c r="A1" s="1" t="inlineStr">
        <is>
          <t>BSE Ltd — DCF Valuation (FCFF on OPERATIONS ONLY)</t>
        </is>
      </c>
      <c r="B1" s="2" t="n"/>
      <c r="C1" s="2" t="n"/>
      <c r="D1" s="2" t="n"/>
      <c r="E1" s="2" t="n"/>
      <c r="F1" s="2" t="n"/>
      <c r="G1" s="2" t="n"/>
      <c r="H1" s="2" t="n"/>
    </row>
    <row r="2">
      <c r="A2" s="3" t="inlineStr">
        <is>
          <t>FCFF is built from OPERATING EBIT, which excludes investment income. The treasury corpus is then added ONCE in the bridge. v1 capitalised the treasury twice (income stream + principal) — that double-count is removed here.</t>
        </is>
      </c>
    </row>
    <row r="3">
      <c r="A3" s="4" t="inlineStr">
        <is>
          <t>Units: Rs Crore; per-share in Rs. BSE earns fee income (not a bank) so FCFF DCF applies.</t>
        </is>
      </c>
    </row>
    <row r="5">
      <c r="A5" s="13" t="inlineStr">
        <is>
          <t>WACC BUILD-UP (CAPM)</t>
        </is>
      </c>
      <c r="B5" s="14" t="n"/>
      <c r="C5" s="14" t="n"/>
      <c r="D5" s="14" t="n"/>
      <c r="E5" s="14" t="n"/>
      <c r="F5" s="14" t="n"/>
      <c r="G5" s="14" t="n"/>
      <c r="H5" s="14" t="n"/>
    </row>
    <row r="6">
      <c r="A6" s="15" t="inlineStr">
        <is>
          <t>Risk-free rate</t>
        </is>
      </c>
      <c r="E6" s="59">
        <f>Assumptions!$H$58</f>
        <v/>
      </c>
      <c r="H6" s="18" t="inlineStr">
        <is>
          <t>From Assumptions (scenario-resolved).</t>
        </is>
      </c>
    </row>
    <row r="7">
      <c r="A7" s="15" t="inlineStr">
        <is>
          <t>Equity risk premium</t>
        </is>
      </c>
      <c r="E7" s="59">
        <f>Assumptions!$H$59</f>
        <v/>
      </c>
      <c r="H7" s="18" t="inlineStr">
        <is>
          <t>From Assumptions.</t>
        </is>
      </c>
    </row>
    <row r="8">
      <c r="A8" s="15" t="inlineStr">
        <is>
          <t>Beta (levered)</t>
        </is>
      </c>
      <c r="E8" s="60">
        <f>Assumptions!$H$60</f>
        <v/>
      </c>
      <c r="H8" s="18" t="inlineStr">
        <is>
          <t>Bear raises beta: one product, one expiry slot.</t>
        </is>
      </c>
    </row>
    <row r="9">
      <c r="A9" s="15" t="inlineStr">
        <is>
          <t>Cost of equity (CAPM)</t>
        </is>
      </c>
      <c r="E9" s="56">
        <f>E6+E8*E7</f>
        <v/>
      </c>
      <c r="H9" s="18" t="inlineStr">
        <is>
          <t>Rf + beta x ERP.</t>
        </is>
      </c>
    </row>
    <row r="10">
      <c r="A10" s="15" t="inlineStr">
        <is>
          <t>Pre-tax cost of debt</t>
        </is>
      </c>
      <c r="E10" s="59">
        <f>Assumptions!$H$61</f>
        <v/>
      </c>
      <c r="H10" s="18" t="inlineStr">
        <is>
          <t>From Assumptions.</t>
        </is>
      </c>
    </row>
    <row r="11">
      <c r="A11" s="15" t="inlineStr">
        <is>
          <t>Tax rate</t>
        </is>
      </c>
      <c r="E11" s="59">
        <f>Assumptions!$H$55</f>
        <v/>
      </c>
      <c r="H11" s="18" t="inlineStr">
        <is>
          <t>From Assumptions.</t>
        </is>
      </c>
    </row>
    <row r="12">
      <c r="A12" s="15" t="inlineStr">
        <is>
          <t>After-tax cost of debt</t>
        </is>
      </c>
      <c r="E12" s="56">
        <f>E10*(1-E11)</f>
        <v/>
      </c>
      <c r="H12" s="18" t="inlineStr">
        <is>
          <t>Kd x (1 - t).</t>
        </is>
      </c>
    </row>
    <row r="13">
      <c r="A13" s="15" t="inlineStr">
        <is>
          <t>Weight — equity</t>
        </is>
      </c>
      <c r="E13" s="59">
        <f>Assumptions!$H$62</f>
        <v/>
      </c>
      <c r="H13" s="18" t="inlineStr">
        <is>
          <t>From Assumptions.</t>
        </is>
      </c>
    </row>
    <row r="14">
      <c r="A14" s="15" t="inlineStr">
        <is>
          <t>Weight — debt</t>
        </is>
      </c>
      <c r="E14" s="56">
        <f>1-E13</f>
        <v/>
      </c>
      <c r="H14" s="18" t="inlineStr">
        <is>
          <t>1 - equity weight.</t>
        </is>
      </c>
    </row>
    <row r="15">
      <c r="A15" s="35" t="inlineStr">
        <is>
          <t>WACC</t>
        </is>
      </c>
      <c r="E15" s="17">
        <f>E13*E9+E14*E12</f>
        <v/>
      </c>
      <c r="H15" s="18" t="inlineStr">
        <is>
          <t>We x Ke + Wd x Kd(AT).</t>
        </is>
      </c>
    </row>
    <row r="16">
      <c r="A16" s="35" t="inlineStr">
        <is>
          <t>Terminal growth</t>
        </is>
      </c>
      <c r="E16" s="61">
        <f>Assumptions!$H$63</f>
        <v/>
      </c>
      <c r="H16" s="18" t="inlineStr">
        <is>
          <t>Base 4.0% — lowered from v1's 5% because FY26 is peak-cycle and ~9/10 of FY26 growth was share TRANSFER from NSE, which cannot compound forever.</t>
        </is>
      </c>
    </row>
    <row r="17">
      <c r="A17" s="13" t="inlineStr">
        <is>
          <t>FREE CASH FLOW TO FIRM (operations only)</t>
        </is>
      </c>
      <c r="B17" s="62" t="inlineStr">
        <is>
          <t>Actual</t>
        </is>
      </c>
      <c r="C17" s="14" t="n"/>
      <c r="D17" s="14" t="n"/>
      <c r="E17" s="63" t="inlineStr">
        <is>
          <t>Projected</t>
        </is>
      </c>
      <c r="F17" s="14" t="n"/>
      <c r="G17" s="14" t="n"/>
      <c r="H17" s="14" t="n"/>
    </row>
    <row r="18">
      <c r="A18" s="5" t="inlineStr">
        <is>
          <t>Rs Crore / as marked</t>
        </is>
      </c>
      <c r="B18" s="33" t="inlineStr">
        <is>
          <t>FY24</t>
        </is>
      </c>
      <c r="C18" s="33" t="inlineStr">
        <is>
          <t>FY25</t>
        </is>
      </c>
      <c r="D18" s="33" t="inlineStr">
        <is>
          <t>FY26</t>
        </is>
      </c>
      <c r="E18" s="34" t="inlineStr">
        <is>
          <t>FY27E</t>
        </is>
      </c>
      <c r="F18" s="34" t="inlineStr">
        <is>
          <t>FY28E</t>
        </is>
      </c>
      <c r="G18" s="34" t="inlineStr">
        <is>
          <t>FY29E</t>
        </is>
      </c>
      <c r="H18" s="5" t="inlineStr">
        <is>
          <t>Source / formula basis</t>
        </is>
      </c>
    </row>
    <row r="19">
      <c r="A19" s="35" t="inlineStr">
        <is>
          <t>Operating EBIT (excl investment income)</t>
        </is>
      </c>
      <c r="E19" s="52">
        <f>'Income Statement'!E29</f>
        <v/>
      </c>
      <c r="F19" s="52">
        <f>'Income Statement'!F29</f>
        <v/>
      </c>
      <c r="G19" s="52">
        <f>'Income Statement'!G29</f>
        <v/>
      </c>
      <c r="H19" s="18" t="inlineStr">
        <is>
          <t>Link to IS operating EBIT. Treasury income deliberately EXCLUDED.</t>
        </is>
      </c>
    </row>
    <row r="20">
      <c r="A20" s="15" t="inlineStr">
        <is>
          <t>NOPAT</t>
        </is>
      </c>
      <c r="E20" s="53">
        <f>E19*(1-Assumptions!$H$55)</f>
        <v/>
      </c>
      <c r="F20" s="53">
        <f>F19*(1-Assumptions!$H$55)</f>
        <v/>
      </c>
      <c r="G20" s="53">
        <f>G19*(1-Assumptions!$H$55)</f>
        <v/>
      </c>
      <c r="H20" s="18" t="inlineStr">
        <is>
          <t>EBIT x (1 - tax).</t>
        </is>
      </c>
    </row>
    <row r="21">
      <c r="A21" s="15" t="inlineStr">
        <is>
          <t>add: D&amp;A</t>
        </is>
      </c>
      <c r="E21" s="53">
        <f>'Balance Sheet'!E9</f>
        <v/>
      </c>
      <c r="F21" s="53">
        <f>'Balance Sheet'!F9</f>
        <v/>
      </c>
      <c r="G21" s="53">
        <f>'Balance Sheet'!G9</f>
        <v/>
      </c>
      <c r="H21" s="18" t="inlineStr">
        <is>
          <t>Link to BS schedule.</t>
        </is>
      </c>
    </row>
    <row r="22">
      <c r="A22" s="15" t="inlineStr">
        <is>
          <t>less: capex</t>
        </is>
      </c>
      <c r="E22" s="53">
        <f>-'Balance Sheet'!E8</f>
        <v/>
      </c>
      <c r="F22" s="53">
        <f>-'Balance Sheet'!F8</f>
        <v/>
      </c>
      <c r="G22" s="53">
        <f>-'Balance Sheet'!G8</f>
        <v/>
      </c>
      <c r="H22" s="18" t="inlineStr">
        <is>
          <t>Link to BS schedule.</t>
        </is>
      </c>
    </row>
    <row r="23">
      <c r="A23" s="15" t="inlineStr">
        <is>
          <t>less: increase in operating WC</t>
        </is>
      </c>
      <c r="E23" s="53">
        <f>-('Balance Sheet'!E14-'Balance Sheet'!D14)</f>
        <v/>
      </c>
      <c r="F23" s="53">
        <f>-('Balance Sheet'!F14-'Balance Sheet'!E14)</f>
        <v/>
      </c>
      <c r="G23" s="53">
        <f>-('Balance Sheet'!G14-'Balance Sheet'!F14)</f>
        <v/>
      </c>
      <c r="H23" s="18" t="inlineStr">
        <is>
          <t>Receivables only. Earmarked float is members' money and is NOT working capital.</t>
        </is>
      </c>
    </row>
    <row r="24">
      <c r="A24" s="35" t="inlineStr">
        <is>
          <t>FCFF</t>
        </is>
      </c>
      <c r="E24" s="26">
        <f>E20+E21+E22+E23</f>
        <v/>
      </c>
      <c r="F24" s="26">
        <f>F20+F21+F22+F23</f>
        <v/>
      </c>
      <c r="G24" s="26">
        <f>G20+G21+G22+G23</f>
        <v/>
      </c>
      <c r="H24" s="18" t="inlineStr">
        <is>
          <t>NOPAT + D&amp;A - capex - dWC.</t>
        </is>
      </c>
    </row>
    <row r="25">
      <c r="A25" s="15" t="inlineStr">
        <is>
          <t>Discount period</t>
        </is>
      </c>
      <c r="E25" s="64">
        <f>1</f>
        <v/>
      </c>
      <c r="F25" s="64">
        <f>2</f>
        <v/>
      </c>
      <c r="G25" s="64">
        <f>3</f>
        <v/>
      </c>
      <c r="H25" s="18" t="inlineStr">
        <is>
          <t>1, 2, 3.</t>
        </is>
      </c>
    </row>
    <row r="26">
      <c r="A26" s="15" t="inlineStr">
        <is>
          <t>Discount factor</t>
        </is>
      </c>
      <c r="E26" s="64">
        <f>1/(1+$E$15)^E25</f>
        <v/>
      </c>
      <c r="F26" s="64">
        <f>1/(1+$E$15)^F25</f>
        <v/>
      </c>
      <c r="G26" s="64">
        <f>1/(1+$E$15)^G25</f>
        <v/>
      </c>
      <c r="H26" s="18" t="inlineStr">
        <is>
          <t>1/(1+WACC)^n.</t>
        </is>
      </c>
    </row>
    <row r="27">
      <c r="A27" s="35" t="inlineStr">
        <is>
          <t>PV of FCFF</t>
        </is>
      </c>
      <c r="E27" s="26">
        <f>E24*E26</f>
        <v/>
      </c>
      <c r="F27" s="26">
        <f>F24*F26</f>
        <v/>
      </c>
      <c r="G27" s="26">
        <f>G24*G26</f>
        <v/>
      </c>
      <c r="H27" s="18" t="inlineStr">
        <is>
          <t>FCFF x DF.</t>
        </is>
      </c>
    </row>
    <row r="28">
      <c r="A28" s="13" t="inlineStr">
        <is>
          <t>TERMINAL VALUE AND THE BRIDGE TO EQUITY</t>
        </is>
      </c>
      <c r="B28" s="14" t="n"/>
      <c r="C28" s="14" t="n"/>
      <c r="D28" s="14" t="n"/>
      <c r="E28" s="14" t="n"/>
      <c r="F28" s="14" t="n"/>
      <c r="G28" s="14" t="n"/>
      <c r="H28" s="14" t="n"/>
    </row>
    <row r="29">
      <c r="A29" s="15" t="inlineStr">
        <is>
          <t>Terminal value — Gordon (single stage)</t>
        </is>
      </c>
      <c r="E29" s="51">
        <f>G24*(1+$E$16)/($E$15-$E$16)</f>
        <v/>
      </c>
      <c r="H29" s="18" t="inlineStr">
        <is>
          <t>FCFF(final) x (1+g) / (WACC - g).</t>
        </is>
      </c>
    </row>
    <row r="30">
      <c r="A30" s="15" t="inlineStr">
        <is>
          <t>Terminal value — H-model (two stage, fading)</t>
        </is>
      </c>
      <c r="E30" s="53">
        <f>G24*(1+$E$16)/($E$15-$E$16)+G24*(Assumptions!$H$66/2)*(Assumptions!$H$65-$E$16)/($E$15-$E$16)</f>
        <v/>
      </c>
      <c r="H30" s="18" t="inlineStr">
        <is>
          <t>Gordon base + fade premium: FCFF x H x (g_fade - g) / (WACC - g), where H = fade_years/2. Credits the transition from high growth to maturity instead of assuming it ends instantly.</t>
        </is>
      </c>
    </row>
    <row r="31">
      <c r="A31" s="35" t="inlineStr">
        <is>
          <t>Terminal value — APPLIED</t>
        </is>
      </c>
      <c r="E31" s="52">
        <f>IF(Assumptions!$H$64=1,E29,E30)</f>
        <v/>
      </c>
      <c r="H31" s="18" t="inlineStr">
        <is>
          <t>Selected by the method switch on Assumptions.</t>
        </is>
      </c>
    </row>
    <row r="32">
      <c r="A32" s="15" t="inlineStr">
        <is>
          <t>PV of terminal value</t>
        </is>
      </c>
      <c r="E32" s="51">
        <f>E31*G26</f>
        <v/>
      </c>
      <c r="H32" s="18" t="inlineStr">
        <is>
          <t>TV x final DF.</t>
        </is>
      </c>
    </row>
    <row r="33">
      <c r="A33" s="15" t="inlineStr">
        <is>
          <t>Sum PV of explicit FCFF</t>
        </is>
      </c>
      <c r="E33" s="51">
        <f>SUM(E27:G27)</f>
        <v/>
      </c>
      <c r="H33" s="18" t="inlineStr">
        <is>
          <t>Explicit period.</t>
        </is>
      </c>
    </row>
    <row r="34">
      <c r="A34" s="35" t="inlineStr">
        <is>
          <t>Enterprise value — OPERATIONS</t>
        </is>
      </c>
      <c r="E34" s="26">
        <f>E33+E32</f>
        <v/>
      </c>
      <c r="H34" s="18" t="inlineStr">
        <is>
          <t>PV(FCFF) + PV(TV). Operations only.</t>
        </is>
      </c>
    </row>
    <row r="35">
      <c r="A35" s="15" t="inlineStr">
        <is>
          <t>add: own investible corpus (once)</t>
        </is>
      </c>
      <c r="E35" s="53">
        <f>'Balance Sheet'!D12</f>
        <v/>
      </c>
      <c r="H35" s="18" t="inlineStr">
        <is>
          <t>FY26 own corpus Rs6,101.90cr — SHAREHOLDERS' money, added ONCE. Earmarked float is excluded because it belongs to members.</t>
        </is>
      </c>
    </row>
    <row r="36">
      <c r="A36" s="15" t="inlineStr">
        <is>
          <t>add: CDSL stake market value</t>
        </is>
      </c>
      <c r="E36" s="53">
        <f>IF(Assumptions!$H$69=2,Assumptions!$H$68,0)</f>
        <v/>
      </c>
      <c r="H36" s="18" t="inlineStr">
        <is>
          <t>Rs3,509.32cr [AR FY26, Note 8]. Included ONLY in mode 2, where the associate EARNINGS are simultaneously stripped from the P&amp;L. Market value OR earnings, never both [W5 constraint 4].</t>
        </is>
      </c>
    </row>
    <row r="37">
      <c r="A37" s="15" t="inlineStr">
        <is>
          <t>less: debt</t>
        </is>
      </c>
      <c r="E37" s="51">
        <f>0</f>
        <v/>
      </c>
      <c r="H37" s="18" t="inlineStr">
        <is>
          <t>BSE carries effectively no debt.</t>
        </is>
      </c>
    </row>
    <row r="38">
      <c r="A38" s="35" t="inlineStr">
        <is>
          <t>EQUITY VALUE</t>
        </is>
      </c>
      <c r="E38" s="26">
        <f>E34+E35+E36-E37</f>
        <v/>
      </c>
      <c r="H38" s="18" t="inlineStr">
        <is>
          <t>Operations + treasury (once) + associate - debt.</t>
        </is>
      </c>
    </row>
    <row r="39">
      <c r="A39" s="15" t="inlineStr">
        <is>
          <t>Shares outstanding (cr)</t>
        </is>
      </c>
      <c r="E39" s="60">
        <f>Assumptions!$H$71</f>
        <v/>
      </c>
      <c r="H39" s="18" t="inlineStr">
        <is>
          <t>From Assumptions.</t>
        </is>
      </c>
    </row>
    <row r="40">
      <c r="A40" s="35" t="inlineStr">
        <is>
          <t>IMPLIED VALUE PER SHARE (Rs)</t>
        </is>
      </c>
      <c r="E40" s="28">
        <f>E38/E39</f>
        <v/>
      </c>
      <c r="H40" s="18" t="inlineStr">
        <is>
          <t>Equity value / shares. Both in crore units, so they cancel to Rs/share.</t>
        </is>
      </c>
    </row>
    <row r="41">
      <c r="A41" s="15" t="inlineStr">
        <is>
          <t>Market price (Rs)</t>
        </is>
      </c>
      <c r="E41" s="60">
        <f>Assumptions!$H$70</f>
        <v/>
      </c>
      <c r="H41" s="18" t="inlineStr">
        <is>
          <t>NSE bhavcopy 4-Sep-2026.</t>
        </is>
      </c>
    </row>
    <row r="42">
      <c r="A42" s="35" t="inlineStr">
        <is>
          <t>Implied upside / (downside)</t>
        </is>
      </c>
      <c r="E42" s="17">
        <f>E40/E41-1</f>
        <v/>
      </c>
      <c r="H42" s="18" t="inlineStr">
        <is>
          <t>Value / price - 1.</t>
        </is>
      </c>
    </row>
    <row r="43">
      <c r="A43" s="15" t="inlineStr">
        <is>
          <t>Implied P/E on FY26 EPS</t>
        </is>
      </c>
      <c r="E43" s="65">
        <f>E40/'Income Statement'!D38</f>
        <v/>
      </c>
      <c r="H43" s="18" t="inlineStr">
        <is>
          <t>What multiple the DCF value represents on FY26 earnings.</t>
        </is>
      </c>
    </row>
    <row r="44">
      <c r="A44" s="13" t="inlineStr">
        <is>
          <t>REVERSE DCF — what does the PRICE require? (the doctrine's question)</t>
        </is>
      </c>
      <c r="B44" s="14" t="n"/>
      <c r="C44" s="14" t="n"/>
      <c r="D44" s="14" t="n"/>
      <c r="E44" s="14" t="n"/>
      <c r="F44" s="14" t="n"/>
      <c r="G44" s="14" t="n"/>
      <c r="H44" s="14" t="n"/>
    </row>
    <row r="45">
      <c r="A45" s="7" t="inlineStr">
        <is>
          <t>This block does not value the company. It inverts the DCF and asks what the market price must be assuming, so the assumption can be tested against evidence.</t>
        </is>
      </c>
    </row>
    <row r="46">
      <c r="A46" s="35" t="inlineStr">
        <is>
          <t>Market capitalisation at current price</t>
        </is>
      </c>
      <c r="E46" s="52">
        <f>Assumptions!$H$70*Assumptions!$H$71</f>
        <v/>
      </c>
      <c r="H46" s="18" t="inlineStr">
        <is>
          <t>Price x paid-up shares. The company's own basis for market cap.</t>
        </is>
      </c>
    </row>
    <row r="47">
      <c r="A47" s="35" t="inlineStr">
        <is>
          <t>Implied EV of OPERATIONS at market price</t>
        </is>
      </c>
      <c r="E47" s="26">
        <f>E46-E35-E36+E37</f>
        <v/>
      </c>
      <c r="H47" s="18" t="inlineStr">
        <is>
          <t>Market cap less the treasury the shareholders already own. This is what the price pays for the operating business alone.</t>
        </is>
      </c>
    </row>
    <row r="48">
      <c r="A48" s="15" t="inlineStr">
        <is>
          <t>Implied terminal value (undiscounted)</t>
        </is>
      </c>
      <c r="E48" s="51">
        <f>(E47-E33)/G26</f>
        <v/>
      </c>
      <c r="H48" s="18" t="inlineStr">
        <is>
          <t>Backs out the terminal value the price requires, after the explicit-period PVs.</t>
        </is>
      </c>
    </row>
    <row r="49">
      <c r="A49" s="35" t="inlineStr">
        <is>
          <t>IMPLIED TERMINAL GROWTH at current price</t>
        </is>
      </c>
      <c r="E49" s="17">
        <f>(E48*$E$15-G24)/(E48+G24)</f>
        <v/>
      </c>
      <c r="H49" s="18" t="inlineStr">
        <is>
          <t>Closed form: g = (TV x WACC - FCFF_final) / (TV + FCFF_final). Compare against WACC — a g at or above WACC is not a growth rate, it is a contradiction.</t>
        </is>
      </c>
    </row>
    <row r="50">
      <c r="A50" s="35" t="inlineStr">
        <is>
          <t xml:space="preserve">  implied g less WACC (must be &lt; 0 to be coherent)</t>
        </is>
      </c>
      <c r="E50" s="17">
        <f>E49-$E$15</f>
        <v/>
      </c>
      <c r="H50" s="18" t="inlineStr">
        <is>
          <t>If this is &gt;= 0 the Gordon formula has no finite solution: the price cannot be justified by any perpetual growth rate at this WACC.</t>
        </is>
      </c>
    </row>
    <row r="51">
      <c r="A51" s="15" t="inlineStr">
        <is>
          <t>Implied EV / final-year FCFF (x)</t>
        </is>
      </c>
      <c r="E51" s="57">
        <f>E47/G24</f>
        <v/>
      </c>
      <c r="H51" s="18" t="inlineStr">
        <is>
          <t>How many years of terminal-year free cash flow the price represents.</t>
        </is>
      </c>
    </row>
    <row r="52">
      <c r="A52" s="35" t="inlineStr">
        <is>
          <t>Market P/E on FY26 EPS (x)</t>
        </is>
      </c>
      <c r="E52" s="66">
        <f>Assumptions!$H$70/'Income Statement'!D38</f>
        <v/>
      </c>
      <c r="H52" s="18" t="inlineStr">
        <is>
          <t>Should print 55.7x — the report's figure. FY26 is a PEAK-CYCLE base: Q1FY27 revenue grew +0.16% sequentially with 110.1% of the profit increase non-operating.</t>
        </is>
      </c>
    </row>
    <row r="53">
      <c r="A53" s="35" t="inlineStr">
        <is>
          <t>DCF value as % of market price</t>
        </is>
      </c>
      <c r="E53" s="17">
        <f>E40/E41</f>
        <v/>
      </c>
      <c r="H53" s="18" t="inlineStr">
        <is>
          <t>Read with the reverse-DCF above: the gap is the size of the growth bet embedded in the price, not a price objective.</t>
        </is>
      </c>
    </row>
  </sheetData>
  <mergeCells count="3">
    <mergeCell ref="A3:H3"/>
    <mergeCell ref="A2:H2"/>
    <mergeCell ref="A1:H1"/>
  </mergeCells>
  <pageMargins left="0.75" right="0.75" top="1" bottom="1" header="0.5" footer="0.5"/>
</worksheet>
</file>

<file path=xl/worksheets/sheet8.xml><?xml version="1.0" encoding="utf-8"?>
<worksheet xmlns="http://schemas.openxmlformats.org/spreadsheetml/2006/main">
  <sheetPr>
    <tabColor rgb="FF00B0F0"/>
    <outlinePr summaryBelow="1" summaryRight="1"/>
    <pageSetUpPr/>
  </sheetPr>
  <dimension ref="A1:H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4" customHeight="1">
      <c r="A1" s="1" t="inlineStr">
        <is>
          <t>BSE Ltd — Trading Comparables</t>
        </is>
      </c>
      <c r="B1" s="2" t="n"/>
      <c r="C1" s="2" t="n"/>
      <c r="D1" s="2" t="n"/>
      <c r="E1" s="2" t="n"/>
      <c r="F1" s="2" t="n"/>
      <c r="G1" s="2" t="n"/>
      <c r="H1" s="2" t="n"/>
    </row>
    <row r="2">
      <c r="A2" s="3" t="inlineStr">
        <is>
          <t>HONESTY NOTE: no verified peer market data exists in this research corpus. Peer price / EBITDA / PAT / book cells are UNVERIFIED user inputs — refresh them before relying on any output. The one peer fact that IS evidenced (NSE's SEBI-fee burden) is shown separately as a real anchor.</t>
        </is>
      </c>
    </row>
    <row r="3">
      <c r="A3" s="4" t="inlineStr">
        <is>
          <t>Units: Rs Crore; price in Rs; multiples in x.</t>
        </is>
      </c>
    </row>
    <row r="5">
      <c r="A5" s="67" t="inlineStr">
        <is>
          <t>*** PEER MARKET DATA BELOW IS UNVERIFIED — USER MUST REFRESH ***</t>
        </is>
      </c>
    </row>
    <row r="7">
      <c r="A7" s="68" t="inlineStr">
        <is>
          <t>Company</t>
        </is>
      </c>
      <c r="B7" s="68" t="inlineStr">
        <is>
          <t>Price (Rs)</t>
        </is>
      </c>
      <c r="C7" s="68" t="inlineStr">
        <is>
          <t>Shares (cr)</t>
        </is>
      </c>
      <c r="D7" s="68" t="inlineStr">
        <is>
          <t>Mkt cap</t>
        </is>
      </c>
      <c r="E7" s="68" t="inlineStr">
        <is>
          <t>Net debt</t>
        </is>
      </c>
      <c r="F7" s="68" t="inlineStr">
        <is>
          <t>EV</t>
        </is>
      </c>
      <c r="G7" s="68" t="inlineStr">
        <is>
          <t>PAT</t>
        </is>
      </c>
      <c r="H7" s="68" t="inlineStr">
        <is>
          <t>EBITDA</t>
        </is>
      </c>
    </row>
    <row r="8">
      <c r="A8" s="5" t="inlineStr">
        <is>
          <t>MCX</t>
        </is>
      </c>
      <c r="B8" s="27" t="n">
        <v>6500</v>
      </c>
      <c r="C8" s="27" t="n">
        <v>5.1</v>
      </c>
      <c r="D8" s="51">
        <f>B8*C8</f>
        <v/>
      </c>
      <c r="E8" s="25" t="n">
        <v>-900</v>
      </c>
      <c r="F8" s="51">
        <f>D8+E8</f>
        <v/>
      </c>
      <c r="G8" s="25" t="n">
        <v>560</v>
      </c>
      <c r="H8" s="25" t="n">
        <v>700</v>
      </c>
    </row>
    <row r="9">
      <c r="A9" s="5" t="inlineStr">
        <is>
          <t>CDSL</t>
        </is>
      </c>
      <c r="B9" s="27" t="n">
        <v>1500</v>
      </c>
      <c r="C9" s="27" t="n">
        <v>20.9</v>
      </c>
      <c r="D9" s="51">
        <f>B9*C9</f>
        <v/>
      </c>
      <c r="E9" s="25" t="n">
        <v>-1200</v>
      </c>
      <c r="F9" s="51">
        <f>D9+E9</f>
        <v/>
      </c>
      <c r="G9" s="25" t="n">
        <v>620</v>
      </c>
      <c r="H9" s="25" t="n">
        <v>800</v>
      </c>
    </row>
    <row r="10">
      <c r="A10" s="5" t="inlineStr">
        <is>
          <t>BSE (from model)</t>
        </is>
      </c>
      <c r="B10" s="60">
        <f>Assumptions!$H$70</f>
        <v/>
      </c>
      <c r="C10" s="60">
        <f>Assumptions!$H$71</f>
        <v/>
      </c>
      <c r="D10" s="51">
        <f>B10*C10</f>
        <v/>
      </c>
      <c r="E10" s="53">
        <f>-'Balance Sheet'!D12</f>
        <v/>
      </c>
      <c r="F10" s="51">
        <f>D10+E10</f>
        <v/>
      </c>
      <c r="G10" s="53">
        <f>'Income Statement'!D37</f>
        <v/>
      </c>
      <c r="H10" s="53">
        <f>'Income Statement'!D27</f>
        <v/>
      </c>
    </row>
    <row r="12">
      <c r="A12" s="13" t="inlineStr">
        <is>
          <t>MULTIPLES</t>
        </is>
      </c>
      <c r="B12" s="14" t="n"/>
      <c r="C12" s="14" t="n"/>
      <c r="D12" s="14" t="n"/>
      <c r="E12" s="14" t="n"/>
      <c r="F12" s="14" t="n"/>
      <c r="G12" s="14" t="n"/>
      <c r="H12" s="14" t="n"/>
    </row>
    <row r="13">
      <c r="A13" s="68" t="inlineStr">
        <is>
          <t>Company</t>
        </is>
      </c>
      <c r="B13" s="68" t="inlineStr">
        <is>
          <t>EV/EBITDA</t>
        </is>
      </c>
      <c r="C13" s="68" t="inlineStr">
        <is>
          <t>P/E</t>
        </is>
      </c>
      <c r="D13" s="68" t="inlineStr">
        <is>
          <t>P/B</t>
        </is>
      </c>
    </row>
    <row r="14">
      <c r="A14" s="5" t="inlineStr">
        <is>
          <t>MCX</t>
        </is>
      </c>
      <c r="B14" s="57">
        <f>F8/H8</f>
        <v/>
      </c>
      <c r="C14" s="57">
        <f>D8/G8</f>
        <v/>
      </c>
      <c r="D14" s="57">
        <f>NA()</f>
        <v/>
      </c>
    </row>
    <row r="15">
      <c r="A15" s="5" t="inlineStr">
        <is>
          <t>CDSL</t>
        </is>
      </c>
      <c r="B15" s="57">
        <f>F9/H9</f>
        <v/>
      </c>
      <c r="C15" s="57">
        <f>D9/G9</f>
        <v/>
      </c>
      <c r="D15" s="57">
        <f>NA()</f>
        <v/>
      </c>
    </row>
    <row r="16">
      <c r="A16" s="69" t="inlineStr">
        <is>
          <t>Peer average</t>
        </is>
      </c>
      <c r="B16" s="58">
        <f>AVERAGE(B14:B15)</f>
        <v/>
      </c>
      <c r="C16" s="58">
        <f>AVERAGE(C14:C15)</f>
        <v/>
      </c>
    </row>
    <row r="17">
      <c r="A17" s="5" t="inlineStr">
        <is>
          <t>BSE (model)</t>
        </is>
      </c>
      <c r="B17" s="58">
        <f>F10/H10</f>
        <v/>
      </c>
      <c r="C17" s="58">
        <f>D10/G10</f>
        <v/>
      </c>
      <c r="D17" s="66">
        <f>D10/'Balance Sheet'!D18</f>
        <v/>
      </c>
      <c r="F17" s="49" t="inlineStr">
        <is>
          <t>BSE P/E should print ~55.7x — the report's figure at Rs3,409.80.</t>
        </is>
      </c>
    </row>
    <row r="19">
      <c r="A19" s="13" t="inlineStr">
        <is>
          <t>IMPLIED VALUE FOR BSE FROM PEER MULTIPLES</t>
        </is>
      </c>
      <c r="B19" s="14" t="n"/>
      <c r="C19" s="14" t="n"/>
      <c r="D19" s="14" t="n"/>
      <c r="E19" s="14" t="n"/>
      <c r="F19" s="14" t="n"/>
      <c r="G19" s="14" t="n"/>
      <c r="H19" s="14" t="n"/>
    </row>
    <row r="20">
      <c r="A20" s="35" t="inlineStr">
        <is>
          <t>Implied price/share — EV/EBITDA (Rs)</t>
        </is>
      </c>
      <c r="B20" s="28">
        <f>(B16*H10-E10)/C10</f>
        <v/>
      </c>
    </row>
    <row r="21">
      <c r="A21" s="35" t="inlineStr">
        <is>
          <t>Implied price/share — P/E (Rs)</t>
        </is>
      </c>
      <c r="B21" s="28">
        <f>(C16*G10)/C10</f>
        <v/>
      </c>
    </row>
    <row r="23">
      <c r="A23" s="13" t="inlineStr">
        <is>
          <t>THE ONE EVIDENCED PEER FACT — the SEBI-fee burden</t>
        </is>
      </c>
      <c r="B23" s="14" t="n"/>
      <c r="C23" s="14" t="n"/>
      <c r="D23" s="14" t="n"/>
      <c r="E23" s="14" t="n"/>
      <c r="F23" s="14" t="n"/>
      <c r="G23" s="14" t="n"/>
      <c r="H23" s="14" t="n"/>
    </row>
    <row r="24">
      <c r="A24" s="15" t="inlineStr">
        <is>
          <t>NSE FY26 revenue from operations (Rs cr)</t>
        </is>
      </c>
      <c r="B24" s="25" t="n">
        <v>16601.31</v>
      </c>
      <c r="D24" s="18" t="inlineStr">
        <is>
          <t>[NSE AR FY26, Consolidated P&amp;L, PDF p140/pr318]</t>
        </is>
      </c>
    </row>
    <row r="25">
      <c r="A25" s="15" t="inlineStr">
        <is>
          <t>NSE FY26 SEBI regulatory fee (Rs cr)</t>
        </is>
      </c>
      <c r="B25" s="25" t="n">
        <v>796.35</v>
      </c>
      <c r="D25" s="18" t="inlineStr">
        <is>
          <t>same source</t>
        </is>
      </c>
    </row>
    <row r="26">
      <c r="A26" s="48" t="inlineStr">
        <is>
          <t>NSE SEBI fee as % of revenue</t>
        </is>
      </c>
      <c r="B26" s="56">
        <f>B25/B24</f>
        <v/>
      </c>
    </row>
    <row r="27">
      <c r="A27" s="48" t="inlineStr">
        <is>
          <t>BSE SEBI fee as % of revenue</t>
        </is>
      </c>
      <c r="B27" s="59">
        <f>'Income Statement'!D22/'Income Statement'!D7</f>
        <v/>
      </c>
    </row>
    <row r="28">
      <c r="A28" s="35" t="inlineStr">
        <is>
          <t>BSE / NSE burden ratio</t>
        </is>
      </c>
      <c r="B28" s="58">
        <f>B27/B26</f>
        <v/>
      </c>
      <c r="D28" s="49" t="inlineStr">
        <is>
          <t>Research figure: 11.71% / 4.80% = 2.44x. BSE bills on premium, pays on notional.</t>
        </is>
      </c>
    </row>
  </sheetData>
  <mergeCells count="3">
    <mergeCell ref="A3:H3"/>
    <mergeCell ref="A2:H2"/>
    <mergeCell ref="A1:H1"/>
  </mergeCells>
  <pageMargins left="0.75" right="0.75" top="1" bottom="1" header="0.5" footer="0.5"/>
</worksheet>
</file>

<file path=xl/worksheets/sheet9.xml><?xml version="1.0" encoding="utf-8"?>
<worksheet xmlns="http://schemas.openxmlformats.org/spreadsheetml/2006/main">
  <sheetPr>
    <tabColor rgb="FFFF0000"/>
    <outlinePr summaryBelow="1" summaryRight="1"/>
    <pageSetUpPr/>
  </sheetPr>
  <dimension ref="A1:I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4" customHeight="1">
      <c r="A1" s="1" t="inlineStr">
        <is>
          <t>BSE Ltd — Sensitivity</t>
        </is>
      </c>
      <c r="B1" s="2" t="n"/>
      <c r="C1" s="2" t="n"/>
      <c r="D1" s="2" t="n"/>
      <c r="E1" s="2" t="n"/>
      <c r="F1" s="2" t="n"/>
      <c r="G1" s="2" t="n"/>
      <c r="H1" s="2" t="n"/>
      <c r="I1" s="2" t="n"/>
    </row>
    <row r="2">
      <c r="A2" s="3" t="inlineStr">
        <is>
          <t>Grid 1: WACC x terminal growth. Grid 2: premium-ADT growth. Grid 3: THE WEDGE — the premium/notional ratio, which the research identifies as the single most important exogenous variable and which management says is unforecastable.</t>
        </is>
      </c>
    </row>
    <row r="3">
      <c r="A3" s="4" t="inlineStr">
        <is>
          <t>Value per share in Rs. Every grid cell is a live formula off the DCF FCFF stream.</t>
        </is>
      </c>
    </row>
    <row r="5">
      <c r="A5" s="13" t="inlineStr">
        <is>
          <t>GRID 1 — value/share: WACC (across) x terminal growth (down)</t>
        </is>
      </c>
      <c r="B5" s="14" t="n"/>
      <c r="C5" s="14" t="n"/>
      <c r="D5" s="14" t="n"/>
      <c r="E5" s="14" t="n"/>
      <c r="F5" s="14" t="n"/>
      <c r="G5" s="14" t="n"/>
      <c r="H5" s="14" t="n"/>
      <c r="I5" s="14" t="n"/>
    </row>
    <row r="6">
      <c r="A6" s="5" t="inlineStr">
        <is>
          <t>g \ WACC</t>
        </is>
      </c>
      <c r="B6" s="61">
        <f>'DCF Valuation'!$E$15-0.02</f>
        <v/>
      </c>
      <c r="C6" s="61">
        <f>'DCF Valuation'!$E$15-0.01</f>
        <v/>
      </c>
      <c r="D6" s="61">
        <f>'DCF Valuation'!$E$15+0.0</f>
        <v/>
      </c>
      <c r="E6" s="61">
        <f>'DCF Valuation'!$E$15+0.01</f>
        <v/>
      </c>
      <c r="F6" s="61">
        <f>'DCF Valuation'!$E$15+0.02</f>
        <v/>
      </c>
    </row>
    <row r="7">
      <c r="A7" s="61">
        <f>'DCF Valuation'!$E$16-0.02</f>
        <v/>
      </c>
      <c r="B7" s="60">
        <f>((1*'DCF Valuation'!$E$24/(1+B$6)^1+1*'DCF Valuation'!$F$24/(1+B$6)^2+1*'DCF Valuation'!$G$24/(1+B$6)^3+(1*'DCF Valuation'!$G$24*(1+$A7)/(B$6-$A7))/(1+B$6)^3)+'DCF Valuation'!$E$35)/'DCF Valuation'!$E$39</f>
        <v/>
      </c>
      <c r="C7" s="60">
        <f>((1*'DCF Valuation'!$E$24/(1+C$6)^1+1*'DCF Valuation'!$F$24/(1+C$6)^2+1*'DCF Valuation'!$G$24/(1+C$6)^3+(1*'DCF Valuation'!$G$24*(1+$A7)/(C$6-$A7))/(1+C$6)^3)+'DCF Valuation'!$E$35)/'DCF Valuation'!$E$39</f>
        <v/>
      </c>
      <c r="D7" s="60">
        <f>((1*'DCF Valuation'!$E$24/(1+D$6)^1+1*'DCF Valuation'!$F$24/(1+D$6)^2+1*'DCF Valuation'!$G$24/(1+D$6)^3+(1*'DCF Valuation'!$G$24*(1+$A7)/(D$6-$A7))/(1+D$6)^3)+'DCF Valuation'!$E$35)/'DCF Valuation'!$E$39</f>
        <v/>
      </c>
      <c r="E7" s="60">
        <f>((1*'DCF Valuation'!$E$24/(1+E$6)^1+1*'DCF Valuation'!$F$24/(1+E$6)^2+1*'DCF Valuation'!$G$24/(1+E$6)^3+(1*'DCF Valuation'!$G$24*(1+$A7)/(E$6-$A7))/(1+E$6)^3)+'DCF Valuation'!$E$35)/'DCF Valuation'!$E$39</f>
        <v/>
      </c>
      <c r="F7" s="60">
        <f>((1*'DCF Valuation'!$E$24/(1+F$6)^1+1*'DCF Valuation'!$F$24/(1+F$6)^2+1*'DCF Valuation'!$G$24/(1+F$6)^3+(1*'DCF Valuation'!$G$24*(1+$A7)/(F$6-$A7))/(1+F$6)^3)+'DCF Valuation'!$E$35)/'DCF Valuation'!$E$39</f>
        <v/>
      </c>
    </row>
    <row r="8">
      <c r="A8" s="61">
        <f>'DCF Valuation'!$E$16-0.01</f>
        <v/>
      </c>
      <c r="B8" s="60">
        <f>((1*'DCF Valuation'!$E$24/(1+B$6)^1+1*'DCF Valuation'!$F$24/(1+B$6)^2+1*'DCF Valuation'!$G$24/(1+B$6)^3+(1*'DCF Valuation'!$G$24*(1+$A8)/(B$6-$A8))/(1+B$6)^3)+'DCF Valuation'!$E$35)/'DCF Valuation'!$E$39</f>
        <v/>
      </c>
      <c r="C8" s="60">
        <f>((1*'DCF Valuation'!$E$24/(1+C$6)^1+1*'DCF Valuation'!$F$24/(1+C$6)^2+1*'DCF Valuation'!$G$24/(1+C$6)^3+(1*'DCF Valuation'!$G$24*(1+$A8)/(C$6-$A8))/(1+C$6)^3)+'DCF Valuation'!$E$35)/'DCF Valuation'!$E$39</f>
        <v/>
      </c>
      <c r="D8" s="60">
        <f>((1*'DCF Valuation'!$E$24/(1+D$6)^1+1*'DCF Valuation'!$F$24/(1+D$6)^2+1*'DCF Valuation'!$G$24/(1+D$6)^3+(1*'DCF Valuation'!$G$24*(1+$A8)/(D$6-$A8))/(1+D$6)^3)+'DCF Valuation'!$E$35)/'DCF Valuation'!$E$39</f>
        <v/>
      </c>
      <c r="E8" s="60">
        <f>((1*'DCF Valuation'!$E$24/(1+E$6)^1+1*'DCF Valuation'!$F$24/(1+E$6)^2+1*'DCF Valuation'!$G$24/(1+E$6)^3+(1*'DCF Valuation'!$G$24*(1+$A8)/(E$6-$A8))/(1+E$6)^3)+'DCF Valuation'!$E$35)/'DCF Valuation'!$E$39</f>
        <v/>
      </c>
      <c r="F8" s="60">
        <f>((1*'DCF Valuation'!$E$24/(1+F$6)^1+1*'DCF Valuation'!$F$24/(1+F$6)^2+1*'DCF Valuation'!$G$24/(1+F$6)^3+(1*'DCF Valuation'!$G$24*(1+$A8)/(F$6-$A8))/(1+F$6)^3)+'DCF Valuation'!$E$35)/'DCF Valuation'!$E$39</f>
        <v/>
      </c>
    </row>
    <row r="9">
      <c r="A9" s="61">
        <f>'DCF Valuation'!$E$16+0.0</f>
        <v/>
      </c>
      <c r="B9" s="60">
        <f>((1*'DCF Valuation'!$E$24/(1+B$6)^1+1*'DCF Valuation'!$F$24/(1+B$6)^2+1*'DCF Valuation'!$G$24/(1+B$6)^3+(1*'DCF Valuation'!$G$24*(1+$A9)/(B$6-$A9))/(1+B$6)^3)+'DCF Valuation'!$E$35)/'DCF Valuation'!$E$39</f>
        <v/>
      </c>
      <c r="C9" s="60">
        <f>((1*'DCF Valuation'!$E$24/(1+C$6)^1+1*'DCF Valuation'!$F$24/(1+C$6)^2+1*'DCF Valuation'!$G$24/(1+C$6)^3+(1*'DCF Valuation'!$G$24*(1+$A9)/(C$6-$A9))/(1+C$6)^3)+'DCF Valuation'!$E$35)/'DCF Valuation'!$E$39</f>
        <v/>
      </c>
      <c r="D9" s="60">
        <f>((1*'DCF Valuation'!$E$24/(1+D$6)^1+1*'DCF Valuation'!$F$24/(1+D$6)^2+1*'DCF Valuation'!$G$24/(1+D$6)^3+(1*'DCF Valuation'!$G$24*(1+$A9)/(D$6-$A9))/(1+D$6)^3)+'DCF Valuation'!$E$35)/'DCF Valuation'!$E$39</f>
        <v/>
      </c>
      <c r="E9" s="60">
        <f>((1*'DCF Valuation'!$E$24/(1+E$6)^1+1*'DCF Valuation'!$F$24/(1+E$6)^2+1*'DCF Valuation'!$G$24/(1+E$6)^3+(1*'DCF Valuation'!$G$24*(1+$A9)/(E$6-$A9))/(1+E$6)^3)+'DCF Valuation'!$E$35)/'DCF Valuation'!$E$39</f>
        <v/>
      </c>
      <c r="F9" s="60">
        <f>((1*'DCF Valuation'!$E$24/(1+F$6)^1+1*'DCF Valuation'!$F$24/(1+F$6)^2+1*'DCF Valuation'!$G$24/(1+F$6)^3+(1*'DCF Valuation'!$G$24*(1+$A9)/(F$6-$A9))/(1+F$6)^3)+'DCF Valuation'!$E$35)/'DCF Valuation'!$E$39</f>
        <v/>
      </c>
    </row>
    <row r="10">
      <c r="A10" s="61">
        <f>'DCF Valuation'!$E$16+0.01</f>
        <v/>
      </c>
      <c r="B10" s="60">
        <f>((1*'DCF Valuation'!$E$24/(1+B$6)^1+1*'DCF Valuation'!$F$24/(1+B$6)^2+1*'DCF Valuation'!$G$24/(1+B$6)^3+(1*'DCF Valuation'!$G$24*(1+$A10)/(B$6-$A10))/(1+B$6)^3)+'DCF Valuation'!$E$35)/'DCF Valuation'!$E$39</f>
        <v/>
      </c>
      <c r="C10" s="60">
        <f>((1*'DCF Valuation'!$E$24/(1+C$6)^1+1*'DCF Valuation'!$F$24/(1+C$6)^2+1*'DCF Valuation'!$G$24/(1+C$6)^3+(1*'DCF Valuation'!$G$24*(1+$A10)/(C$6-$A10))/(1+C$6)^3)+'DCF Valuation'!$E$35)/'DCF Valuation'!$E$39</f>
        <v/>
      </c>
      <c r="D10" s="60">
        <f>((1*'DCF Valuation'!$E$24/(1+D$6)^1+1*'DCF Valuation'!$F$24/(1+D$6)^2+1*'DCF Valuation'!$G$24/(1+D$6)^3+(1*'DCF Valuation'!$G$24*(1+$A10)/(D$6-$A10))/(1+D$6)^3)+'DCF Valuation'!$E$35)/'DCF Valuation'!$E$39</f>
        <v/>
      </c>
      <c r="E10" s="60">
        <f>((1*'DCF Valuation'!$E$24/(1+E$6)^1+1*'DCF Valuation'!$F$24/(1+E$6)^2+1*'DCF Valuation'!$G$24/(1+E$6)^3+(1*'DCF Valuation'!$G$24*(1+$A10)/(E$6-$A10))/(1+E$6)^3)+'DCF Valuation'!$E$35)/'DCF Valuation'!$E$39</f>
        <v/>
      </c>
      <c r="F10" s="60">
        <f>((1*'DCF Valuation'!$E$24/(1+F$6)^1+1*'DCF Valuation'!$F$24/(1+F$6)^2+1*'DCF Valuation'!$G$24/(1+F$6)^3+(1*'DCF Valuation'!$G$24*(1+$A10)/(F$6-$A10))/(1+F$6)^3)+'DCF Valuation'!$E$35)/'DCF Valuation'!$E$39</f>
        <v/>
      </c>
    </row>
    <row r="11">
      <c r="A11" s="61">
        <f>'DCF Valuation'!$E$16+0.02</f>
        <v/>
      </c>
      <c r="B11" s="60">
        <f>((1*'DCF Valuation'!$E$24/(1+B$6)^1+1*'DCF Valuation'!$F$24/(1+B$6)^2+1*'DCF Valuation'!$G$24/(1+B$6)^3+(1*'DCF Valuation'!$G$24*(1+$A11)/(B$6-$A11))/(1+B$6)^3)+'DCF Valuation'!$E$35)/'DCF Valuation'!$E$39</f>
        <v/>
      </c>
      <c r="C11" s="60">
        <f>((1*'DCF Valuation'!$E$24/(1+C$6)^1+1*'DCF Valuation'!$F$24/(1+C$6)^2+1*'DCF Valuation'!$G$24/(1+C$6)^3+(1*'DCF Valuation'!$G$24*(1+$A11)/(C$6-$A11))/(1+C$6)^3)+'DCF Valuation'!$E$35)/'DCF Valuation'!$E$39</f>
        <v/>
      </c>
      <c r="D11" s="60">
        <f>((1*'DCF Valuation'!$E$24/(1+D$6)^1+1*'DCF Valuation'!$F$24/(1+D$6)^2+1*'DCF Valuation'!$G$24/(1+D$6)^3+(1*'DCF Valuation'!$G$24*(1+$A11)/(D$6-$A11))/(1+D$6)^3)+'DCF Valuation'!$E$35)/'DCF Valuation'!$E$39</f>
        <v/>
      </c>
      <c r="E11" s="60">
        <f>((1*'DCF Valuation'!$E$24/(1+E$6)^1+1*'DCF Valuation'!$F$24/(1+E$6)^2+1*'DCF Valuation'!$G$24/(1+E$6)^3+(1*'DCF Valuation'!$G$24*(1+$A11)/(E$6-$A11))/(1+E$6)^3)+'DCF Valuation'!$E$35)/'DCF Valuation'!$E$39</f>
        <v/>
      </c>
      <c r="F11" s="60">
        <f>((1*'DCF Valuation'!$E$24/(1+F$6)^1+1*'DCF Valuation'!$F$24/(1+F$6)^2+1*'DCF Valuation'!$G$24/(1+F$6)^3+(1*'DCF Valuation'!$G$24*(1+$A11)/(F$6-$A11))/(1+F$6)^3)+'DCF Valuation'!$E$35)/'DCF Valuation'!$E$39</f>
        <v/>
      </c>
    </row>
    <row r="13">
      <c r="A13" s="13" t="inlineStr">
        <is>
          <t>GRID 2 — value/share vs PREMIUM ADT growth (FY27E lever)</t>
        </is>
      </c>
      <c r="B13" s="14" t="n"/>
      <c r="C13" s="14" t="n"/>
      <c r="D13" s="14" t="n"/>
      <c r="E13" s="14" t="n"/>
      <c r="F13" s="14" t="n"/>
      <c r="G13" s="14" t="n"/>
      <c r="H13" s="14" t="n"/>
      <c r="I13" s="14" t="n"/>
    </row>
    <row r="14">
      <c r="A14" s="5" t="inlineStr">
        <is>
          <t>Premium ADT growth</t>
        </is>
      </c>
      <c r="B14" s="5" t="inlineStr">
        <is>
          <t>Value/share (Rs)</t>
        </is>
      </c>
      <c r="D14" s="18" t="inlineStr">
        <is>
          <t>Scales the derivatives share of revenue through to FCFF.</t>
        </is>
      </c>
    </row>
    <row r="15">
      <c r="A15" s="61">
        <f>Assumptions!$H$8-0.3</f>
        <v/>
      </c>
      <c r="B15" s="60">
        <f>(((1+('Segment Revenue Build'!$E$7/'Segment Revenue Build'!$E$19)*((A15-Assumptions!$H$8)/(1+Assumptions!$H$8)))*'DCF Valuation'!$E$24/(1+'DCF Valuation'!$E$15)^1+(1+('Segment Revenue Build'!$E$7/'Segment Revenue Build'!$E$19)*((A15-Assumptions!$H$8)/(1+Assumptions!$H$8)))*'DCF Valuation'!$F$24/(1+'DCF Valuation'!$E$15)^2+(1+('Segment Revenue Build'!$E$7/'Segment Revenue Build'!$E$19)*((A15-Assumptions!$H$8)/(1+Assumptions!$H$8)))*'DCF Valuation'!$G$24/(1+'DCF Valuation'!$E$15)^3+((1+('Segment Revenue Build'!$E$7/'Segment Revenue Build'!$E$19)*((A15-Assumptions!$H$8)/(1+Assumptions!$H$8)))*'DCF Valuation'!$G$24*(1+'DCF Valuation'!$E$16)/('DCF Valuation'!$E$15-'DCF Valuation'!$E$16))/(1+'DCF Valuation'!$E$15)^3)+'DCF Valuation'!$E$35)/'DCF Valuation'!$E$39</f>
        <v/>
      </c>
    </row>
    <row r="16">
      <c r="A16" s="61">
        <f>Assumptions!$H$8-0.2</f>
        <v/>
      </c>
      <c r="B16" s="60">
        <f>(((1+('Segment Revenue Build'!$E$7/'Segment Revenue Build'!$E$19)*((A16-Assumptions!$H$8)/(1+Assumptions!$H$8)))*'DCF Valuation'!$E$24/(1+'DCF Valuation'!$E$15)^1+(1+('Segment Revenue Build'!$E$7/'Segment Revenue Build'!$E$19)*((A16-Assumptions!$H$8)/(1+Assumptions!$H$8)))*'DCF Valuation'!$F$24/(1+'DCF Valuation'!$E$15)^2+(1+('Segment Revenue Build'!$E$7/'Segment Revenue Build'!$E$19)*((A16-Assumptions!$H$8)/(1+Assumptions!$H$8)))*'DCF Valuation'!$G$24/(1+'DCF Valuation'!$E$15)^3+((1+('Segment Revenue Build'!$E$7/'Segment Revenue Build'!$E$19)*((A16-Assumptions!$H$8)/(1+Assumptions!$H$8)))*'DCF Valuation'!$G$24*(1+'DCF Valuation'!$E$16)/('DCF Valuation'!$E$15-'DCF Valuation'!$E$16))/(1+'DCF Valuation'!$E$15)^3)+'DCF Valuation'!$E$35)/'DCF Valuation'!$E$39</f>
        <v/>
      </c>
    </row>
    <row r="17">
      <c r="A17" s="61">
        <f>Assumptions!$H$8-0.1</f>
        <v/>
      </c>
      <c r="B17" s="60">
        <f>(((1+('Segment Revenue Build'!$E$7/'Segment Revenue Build'!$E$19)*((A17-Assumptions!$H$8)/(1+Assumptions!$H$8)))*'DCF Valuation'!$E$24/(1+'DCF Valuation'!$E$15)^1+(1+('Segment Revenue Build'!$E$7/'Segment Revenue Build'!$E$19)*((A17-Assumptions!$H$8)/(1+Assumptions!$H$8)))*'DCF Valuation'!$F$24/(1+'DCF Valuation'!$E$15)^2+(1+('Segment Revenue Build'!$E$7/'Segment Revenue Build'!$E$19)*((A17-Assumptions!$H$8)/(1+Assumptions!$H$8)))*'DCF Valuation'!$G$24/(1+'DCF Valuation'!$E$15)^3+((1+('Segment Revenue Build'!$E$7/'Segment Revenue Build'!$E$19)*((A17-Assumptions!$H$8)/(1+Assumptions!$H$8)))*'DCF Valuation'!$G$24*(1+'DCF Valuation'!$E$16)/('DCF Valuation'!$E$15-'DCF Valuation'!$E$16))/(1+'DCF Valuation'!$E$15)^3)+'DCF Valuation'!$E$35)/'DCF Valuation'!$E$39</f>
        <v/>
      </c>
    </row>
    <row r="18">
      <c r="A18" s="61">
        <f>Assumptions!$H$8+0.0</f>
        <v/>
      </c>
      <c r="B18" s="60">
        <f>(((1+('Segment Revenue Build'!$E$7/'Segment Revenue Build'!$E$19)*((A18-Assumptions!$H$8)/(1+Assumptions!$H$8)))*'DCF Valuation'!$E$24/(1+'DCF Valuation'!$E$15)^1+(1+('Segment Revenue Build'!$E$7/'Segment Revenue Build'!$E$19)*((A18-Assumptions!$H$8)/(1+Assumptions!$H$8)))*'DCF Valuation'!$F$24/(1+'DCF Valuation'!$E$15)^2+(1+('Segment Revenue Build'!$E$7/'Segment Revenue Build'!$E$19)*((A18-Assumptions!$H$8)/(1+Assumptions!$H$8)))*'DCF Valuation'!$G$24/(1+'DCF Valuation'!$E$15)^3+((1+('Segment Revenue Build'!$E$7/'Segment Revenue Build'!$E$19)*((A18-Assumptions!$H$8)/(1+Assumptions!$H$8)))*'DCF Valuation'!$G$24*(1+'DCF Valuation'!$E$16)/('DCF Valuation'!$E$15-'DCF Valuation'!$E$16))/(1+'DCF Valuation'!$E$15)^3)+'DCF Valuation'!$E$35)/'DCF Valuation'!$E$39</f>
        <v/>
      </c>
    </row>
    <row r="19">
      <c r="A19" s="61">
        <f>Assumptions!$H$8+0.1</f>
        <v/>
      </c>
      <c r="B19" s="60">
        <f>(((1+('Segment Revenue Build'!$E$7/'Segment Revenue Build'!$E$19)*((A19-Assumptions!$H$8)/(1+Assumptions!$H$8)))*'DCF Valuation'!$E$24/(1+'DCF Valuation'!$E$15)^1+(1+('Segment Revenue Build'!$E$7/'Segment Revenue Build'!$E$19)*((A19-Assumptions!$H$8)/(1+Assumptions!$H$8)))*'DCF Valuation'!$F$24/(1+'DCF Valuation'!$E$15)^2+(1+('Segment Revenue Build'!$E$7/'Segment Revenue Build'!$E$19)*((A19-Assumptions!$H$8)/(1+Assumptions!$H$8)))*'DCF Valuation'!$G$24/(1+'DCF Valuation'!$E$15)^3+((1+('Segment Revenue Build'!$E$7/'Segment Revenue Build'!$E$19)*((A19-Assumptions!$H$8)/(1+Assumptions!$H$8)))*'DCF Valuation'!$G$24*(1+'DCF Valuation'!$E$16)/('DCF Valuation'!$E$15-'DCF Valuation'!$E$16))/(1+'DCF Valuation'!$E$15)^3)+'DCF Valuation'!$E$35)/'DCF Valuation'!$E$39</f>
        <v/>
      </c>
    </row>
    <row r="20">
      <c r="A20" s="61">
        <f>Assumptions!$H$8+0.2</f>
        <v/>
      </c>
      <c r="B20" s="60">
        <f>(((1+('Segment Revenue Build'!$E$7/'Segment Revenue Build'!$E$19)*((A20-Assumptions!$H$8)/(1+Assumptions!$H$8)))*'DCF Valuation'!$E$24/(1+'DCF Valuation'!$E$15)^1+(1+('Segment Revenue Build'!$E$7/'Segment Revenue Build'!$E$19)*((A20-Assumptions!$H$8)/(1+Assumptions!$H$8)))*'DCF Valuation'!$F$24/(1+'DCF Valuation'!$E$15)^2+(1+('Segment Revenue Build'!$E$7/'Segment Revenue Build'!$E$19)*((A20-Assumptions!$H$8)/(1+Assumptions!$H$8)))*'DCF Valuation'!$G$24/(1+'DCF Valuation'!$E$15)^3+((1+('Segment Revenue Build'!$E$7/'Segment Revenue Build'!$E$19)*((A20-Assumptions!$H$8)/(1+Assumptions!$H$8)))*'DCF Valuation'!$G$24*(1+'DCF Valuation'!$E$16)/('DCF Valuation'!$E$15-'DCF Valuation'!$E$16))/(1+'DCF Valuation'!$E$15)^3)+'DCF Valuation'!$E$35)/'DCF Valuation'!$E$39</f>
        <v/>
      </c>
    </row>
    <row r="21">
      <c r="A21" s="61">
        <f>Assumptions!$H$8+0.3</f>
        <v/>
      </c>
      <c r="B21" s="60">
        <f>(((1+('Segment Revenue Build'!$E$7/'Segment Revenue Build'!$E$19)*((A21-Assumptions!$H$8)/(1+Assumptions!$H$8)))*'DCF Valuation'!$E$24/(1+'DCF Valuation'!$E$15)^1+(1+('Segment Revenue Build'!$E$7/'Segment Revenue Build'!$E$19)*((A21-Assumptions!$H$8)/(1+Assumptions!$H$8)))*'DCF Valuation'!$F$24/(1+'DCF Valuation'!$E$15)^2+(1+('Segment Revenue Build'!$E$7/'Segment Revenue Build'!$E$19)*((A21-Assumptions!$H$8)/(1+Assumptions!$H$8)))*'DCF Valuation'!$G$24/(1+'DCF Valuation'!$E$15)^3+((1+('Segment Revenue Build'!$E$7/'Segment Revenue Build'!$E$19)*((A21-Assumptions!$H$8)/(1+Assumptions!$H$8)))*'DCF Valuation'!$G$24*(1+'DCF Valuation'!$E$16)/('DCF Valuation'!$E$15-'DCF Valuation'!$E$16))/(1+'DCF Valuation'!$E$15)^3)+'DCF Valuation'!$E$35)/'DCF Valuation'!$E$39</f>
        <v/>
      </c>
    </row>
    <row r="23">
      <c r="A23" s="13" t="inlineStr">
        <is>
          <t>GRID 3 — value/share vs THE WEDGE (premium/notional ratio)</t>
        </is>
      </c>
      <c r="B23" s="14" t="n"/>
      <c r="C23" s="14" t="n"/>
      <c r="D23" s="14" t="n"/>
      <c r="E23" s="14" t="n"/>
      <c r="F23" s="14" t="n"/>
      <c r="G23" s="14" t="n"/>
      <c r="H23" s="14" t="n"/>
      <c r="I23" s="14" t="n"/>
    </row>
    <row r="24">
      <c r="A24" s="5" t="inlineStr">
        <is>
          <t>Premium/notional</t>
        </is>
      </c>
      <c r="B24" s="5" t="inlineStr">
        <is>
          <t>Value/share (Rs)</t>
        </is>
      </c>
      <c r="C24" s="5" t="inlineStr">
        <is>
          <t>Levy impact (Rs cr)</t>
        </is>
      </c>
      <c r="E24" s="49" t="inlineStr">
        <is>
          <t>The wedge sets the SEBI levy: notional = premium / wedge. A LOWER wedge means a BIGGER notional base and a bigger levy for the same revenue.</t>
        </is>
      </c>
    </row>
    <row r="25">
      <c r="A25" s="21" t="n">
        <v>0.00091491</v>
      </c>
      <c r="B25" s="60">
        <f>(((1-(C25*(1-Assumptions!$H$55))/'DCF Valuation'!$E$24)*'DCF Valuation'!$E$24/(1+'DCF Valuation'!$E$15)^1+(1-(C25*(1-Assumptions!$H$55))/'DCF Valuation'!$E$24)*'DCF Valuation'!$F$24/(1+'DCF Valuation'!$E$15)^2+(1-(C25*(1-Assumptions!$H$55))/'DCF Valuation'!$E$24)*'DCF Valuation'!$G$24/(1+'DCF Valuation'!$E$15)^3+((1-(C25*(1-Assumptions!$H$55))/'DCF Valuation'!$E$24)*'DCF Valuation'!$G$24*(1+'DCF Valuation'!$E$16)/('DCF Valuation'!$E$15-'DCF Valuation'!$E$16))/(1+'DCF Valuation'!$E$15)^3)+'DCF Valuation'!$E$35)/'DCF Valuation'!$E$39</f>
        <v/>
      </c>
      <c r="C25" s="53">
        <f>('Drivers &amp; History'!$E$7/A25*Assumptions!$H$14)-'Income Statement'!$E$22</f>
        <v/>
      </c>
    </row>
    <row r="26">
      <c r="A26" s="21" t="n">
        <v>0.00095</v>
      </c>
      <c r="B26" s="60">
        <f>(((1-(C26*(1-Assumptions!$H$55))/'DCF Valuation'!$E$24)*'DCF Valuation'!$E$24/(1+'DCF Valuation'!$E$15)^1+(1-(C26*(1-Assumptions!$H$55))/'DCF Valuation'!$E$24)*'DCF Valuation'!$F$24/(1+'DCF Valuation'!$E$15)^2+(1-(C26*(1-Assumptions!$H$55))/'DCF Valuation'!$E$24)*'DCF Valuation'!$G$24/(1+'DCF Valuation'!$E$15)^3+((1-(C26*(1-Assumptions!$H$55))/'DCF Valuation'!$E$24)*'DCF Valuation'!$G$24*(1+'DCF Valuation'!$E$16)/('DCF Valuation'!$E$15-'DCF Valuation'!$E$16))/(1+'DCF Valuation'!$E$15)^3)+'DCF Valuation'!$E$35)/'DCF Valuation'!$E$39</f>
        <v/>
      </c>
      <c r="C26" s="53">
        <f>('Drivers &amp; History'!$E$7/A26*Assumptions!$H$14)-'Income Statement'!$E$22</f>
        <v/>
      </c>
    </row>
    <row r="27">
      <c r="A27" s="21" t="n">
        <v>0.00104315</v>
      </c>
      <c r="B27" s="60">
        <f>(((1-(C27*(1-Assumptions!$H$55))/'DCF Valuation'!$E$24)*'DCF Valuation'!$E$24/(1+'DCF Valuation'!$E$15)^1+(1-(C27*(1-Assumptions!$H$55))/'DCF Valuation'!$E$24)*'DCF Valuation'!$F$24/(1+'DCF Valuation'!$E$15)^2+(1-(C27*(1-Assumptions!$H$55))/'DCF Valuation'!$E$24)*'DCF Valuation'!$G$24/(1+'DCF Valuation'!$E$15)^3+((1-(C27*(1-Assumptions!$H$55))/'DCF Valuation'!$E$24)*'DCF Valuation'!$G$24*(1+'DCF Valuation'!$E$16)/('DCF Valuation'!$E$15-'DCF Valuation'!$E$16))/(1+'DCF Valuation'!$E$15)^3)+'DCF Valuation'!$E$35)/'DCF Valuation'!$E$39</f>
        <v/>
      </c>
      <c r="C27" s="53">
        <f>('Drivers &amp; History'!$E$7/A27*Assumptions!$H$14)-'Income Statement'!$E$22</f>
        <v/>
      </c>
    </row>
    <row r="28">
      <c r="A28" s="21" t="n">
        <v>0.00115</v>
      </c>
      <c r="B28" s="60">
        <f>(((1-(C28*(1-Assumptions!$H$55))/'DCF Valuation'!$E$24)*'DCF Valuation'!$E$24/(1+'DCF Valuation'!$E$15)^1+(1-(C28*(1-Assumptions!$H$55))/'DCF Valuation'!$E$24)*'DCF Valuation'!$F$24/(1+'DCF Valuation'!$E$15)^2+(1-(C28*(1-Assumptions!$H$55))/'DCF Valuation'!$E$24)*'DCF Valuation'!$G$24/(1+'DCF Valuation'!$E$15)^3+((1-(C28*(1-Assumptions!$H$55))/'DCF Valuation'!$E$24)*'DCF Valuation'!$G$24*(1+'DCF Valuation'!$E$16)/('DCF Valuation'!$E$15-'DCF Valuation'!$E$16))/(1+'DCF Valuation'!$E$15)^3)+'DCF Valuation'!$E$35)/'DCF Valuation'!$E$39</f>
        <v/>
      </c>
      <c r="C28" s="53">
        <f>('Drivers &amp; History'!$E$7/A28*Assumptions!$H$14)-'Income Statement'!$E$22</f>
        <v/>
      </c>
    </row>
    <row r="29">
      <c r="A29" s="21" t="n">
        <v>0.00124959</v>
      </c>
      <c r="B29" s="60">
        <f>(((1-(C29*(1-Assumptions!$H$55))/'DCF Valuation'!$E$24)*'DCF Valuation'!$E$24/(1+'DCF Valuation'!$E$15)^1+(1-(C29*(1-Assumptions!$H$55))/'DCF Valuation'!$E$24)*'DCF Valuation'!$F$24/(1+'DCF Valuation'!$E$15)^2+(1-(C29*(1-Assumptions!$H$55))/'DCF Valuation'!$E$24)*'DCF Valuation'!$G$24/(1+'DCF Valuation'!$E$15)^3+((1-(C29*(1-Assumptions!$H$55))/'DCF Valuation'!$E$24)*'DCF Valuation'!$G$24*(1+'DCF Valuation'!$E$16)/('DCF Valuation'!$E$15-'DCF Valuation'!$E$16))/(1+'DCF Valuation'!$E$15)^3)+'DCF Valuation'!$E$35)/'DCF Valuation'!$E$39</f>
        <v/>
      </c>
      <c r="C29" s="53">
        <f>('Drivers &amp; History'!$E$7/A29*Assumptions!$H$14)-'Income Statement'!$E$22</f>
        <v/>
      </c>
    </row>
    <row r="30">
      <c r="A30" s="49" t="inlineStr">
        <is>
          <t>Q2FY26 low = 0.091491% is ALREADY PRINTED inside this cycle.</t>
        </is>
      </c>
    </row>
  </sheetData>
  <mergeCells count="3">
    <mergeCell ref="A1:I1"/>
    <mergeCell ref="A3:I3"/>
    <mergeCell ref="A2:I2"/>
  </mergeCells>
  <pageMargins left="0.75" right="0.75" top="1" bottom="1" header="0.5" footer="0.5"/>
</worksheet>
</file>

<file path=xl/worksheets/sheet10.xml><?xml version="1.0" encoding="utf-8"?>
<worksheet xmlns="http://schemas.openxmlformats.org/spreadsheetml/2006/main">
  <sheetPr>
    <tabColor rgb="FF375623"/>
    <outlinePr summaryBelow="1" summaryRight="1"/>
    <pageSetUpPr/>
  </sheetPr>
  <dimension ref="A1:F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2" customWidth="1" min="5" max="5"/>
    <col width="46" customWidth="1" min="6" max="6"/>
  </cols>
  <sheetData>
    <row r="1" ht="24" customHeight="1">
      <c r="A1" s="1" t="inlineStr">
        <is>
          <t>BSE Ltd — Model Integrity Checks</t>
        </is>
      </c>
      <c r="B1" s="2" t="n"/>
      <c r="C1" s="2" t="n"/>
      <c r="D1" s="2" t="n"/>
      <c r="E1" s="2" t="n"/>
      <c r="F1" s="2" t="n"/>
    </row>
    <row r="2">
      <c r="A2" s="3" t="inlineStr">
        <is>
          <t>Every row is a live formula compared against a disclosed actual. A model that cannot reproduce the audited past should not be used to forecast the future.</t>
        </is>
      </c>
    </row>
    <row r="3">
      <c r="A3" s="4" t="inlineStr">
        <is>
          <t>Target values are typed (blue) from the research; Model values are formulas.</t>
        </is>
      </c>
    </row>
    <row r="5">
      <c r="A5" s="68" t="inlineStr">
        <is>
          <t>Check</t>
        </is>
      </c>
      <c r="B5" s="68" t="inlineStr">
        <is>
          <t>Model</t>
        </is>
      </c>
      <c r="C5" s="68" t="inlineStr">
        <is>
          <t>Target</t>
        </is>
      </c>
      <c r="D5" s="68" t="inlineStr">
        <is>
          <t>Diff</t>
        </is>
      </c>
      <c r="E5" s="68" t="inlineStr">
        <is>
          <t>Status</t>
        </is>
      </c>
      <c r="F5" s="68" t="inlineStr">
        <is>
          <t>Note</t>
        </is>
      </c>
    </row>
    <row r="6">
      <c r="A6" s="13" t="inlineStr">
        <is>
          <t>A. DOES THE MODEL REPRODUCE THE AUDITED PAST?</t>
        </is>
      </c>
      <c r="B6" s="14" t="n"/>
      <c r="C6" s="14" t="n"/>
      <c r="D6" s="14" t="n"/>
      <c r="E6" s="14" t="n"/>
      <c r="F6" s="14" t="n"/>
    </row>
    <row r="7">
      <c r="A7" s="15" t="inlineStr">
        <is>
          <t>FY26 revenue from operations</t>
        </is>
      </c>
      <c r="B7" s="53">
        <f>'Income Statement'!D7</f>
        <v/>
      </c>
      <c r="C7" s="25" t="n">
        <v>4833.95</v>
      </c>
      <c r="D7" s="51">
        <f>B7-C7</f>
        <v/>
      </c>
      <c r="E7" s="70">
        <f>IF(ABS(D7)&lt;=2.0,"PASS","REVIEW")</f>
        <v/>
      </c>
      <c r="F7" s="18" t="inlineStr">
        <is>
          <t>Audited consolidated [AR FY26 Note 22].</t>
        </is>
      </c>
    </row>
    <row r="8">
      <c r="A8" s="15" t="inlineStr">
        <is>
          <t>FY26 derivatives txn charges</t>
        </is>
      </c>
      <c r="B8" s="53">
        <f>'Segment Revenue Build'!D7</f>
        <v/>
      </c>
      <c r="C8" s="25" t="n">
        <v>3134.37</v>
      </c>
      <c r="D8" s="51">
        <f>B8-C8</f>
        <v/>
      </c>
      <c r="E8" s="70">
        <f>IF(ABS(D8)&lt;=1.0,"PASS","REVIEW")</f>
        <v/>
      </c>
      <c r="F8" s="18" t="inlineStr">
        <is>
          <t>MD&amp;A split (unaudited). 64.84% of consolidated revenue.</t>
        </is>
      </c>
    </row>
    <row r="9">
      <c r="A9" s="15" t="inlineStr">
        <is>
          <t>FY26 transaction charges total</t>
        </is>
      </c>
      <c r="B9" s="53">
        <f>'Segment Revenue Build'!D12</f>
        <v/>
      </c>
      <c r="C9" s="25" t="n">
        <v>3669.48</v>
      </c>
      <c r="D9" s="51">
        <f>B9-C9</f>
        <v/>
      </c>
      <c r="E9" s="70">
        <f>IF(ABS(D9)&lt;=1.0,"PASS","REVIEW")</f>
        <v/>
      </c>
      <c r="F9" s="18" t="inlineStr">
        <is>
          <t>Sub-components tie exactly in the MD&amp;A.</t>
        </is>
      </c>
    </row>
    <row r="10">
      <c r="A10" s="15" t="inlineStr">
        <is>
          <t>FY26 SEBI regulatory fee</t>
        </is>
      </c>
      <c r="B10" s="53">
        <f>'Income Statement'!D22</f>
        <v/>
      </c>
      <c r="C10" s="25" t="n">
        <v>566.16</v>
      </c>
      <c r="D10" s="51">
        <f>B10-C10</f>
        <v/>
      </c>
      <c r="E10" s="70">
        <f>IF(ABS(D10)&lt;=2.0,"PASS","REVIEW")</f>
        <v/>
      </c>
      <c r="F10" s="18" t="inlineStr">
        <is>
          <t>Computed on NOTIONAL turnover.</t>
        </is>
      </c>
    </row>
    <row r="11">
      <c r="A11" s="15" t="inlineStr">
        <is>
          <t>FY26 investment income</t>
        </is>
      </c>
      <c r="B11" s="53">
        <f>'Income Statement'!D8</f>
        <v/>
      </c>
      <c r="C11" s="25" t="n">
        <v>290.3</v>
      </c>
      <c r="D11" s="51">
        <f>B11-C11</f>
        <v/>
      </c>
      <c r="E11" s="70">
        <f>IF(ABS(D11)&lt;=1.0,"PASS","REVIEW")</f>
        <v/>
      </c>
      <c r="F11" s="18" t="inlineStr">
        <is>
          <t xml:space="preserve"> = avg own corpus 4,885.84 x 5.942%.</t>
        </is>
      </c>
    </row>
    <row r="12">
      <c r="A12" s="15" t="inlineStr">
        <is>
          <t>FY26 PAT attributable</t>
        </is>
      </c>
      <c r="B12" s="53">
        <f>'Income Statement'!D37</f>
        <v/>
      </c>
      <c r="C12" s="25" t="n">
        <v>2496.98</v>
      </c>
      <c r="D12" s="51">
        <f>B12-C12</f>
        <v/>
      </c>
      <c r="E12" s="70">
        <f>IF(ABS(D12)&lt;=5.0,"PASS","REVIEW")</f>
        <v/>
      </c>
      <c r="F12" s="18" t="inlineStr">
        <is>
          <t>Audited [AR FY26 Consolidated P&amp;L].</t>
        </is>
      </c>
    </row>
    <row r="13">
      <c r="A13" s="15" t="inlineStr">
        <is>
          <t>FY26 EPS (Rs) — issued-share basis</t>
        </is>
      </c>
      <c r="B13" s="60">
        <f>'Income Statement'!D38</f>
        <v/>
      </c>
      <c r="C13" s="27" t="n">
        <v>60.61</v>
      </c>
      <c r="D13" s="64">
        <f>B13-C13</f>
        <v/>
      </c>
      <c r="E13" s="70">
        <f>IF(ABS(D13)&lt;=0.15,"PASS","REVIEW")</f>
        <v/>
      </c>
      <c r="F13" s="18" t="inlineStr">
        <is>
          <t>2,496.98 / 41.1979 issued shares = Rs60.61 [records/capital_structure.md].</t>
        </is>
      </c>
    </row>
    <row r="14">
      <c r="A14" s="15" t="inlineStr">
        <is>
          <t>FY26 P/E at Rs3,409.80 (x)</t>
        </is>
      </c>
      <c r="B14" s="65">
        <f>Assumptions!$H$70/'Income Statement'!D38</f>
        <v/>
      </c>
      <c r="C14" s="71" t="n">
        <v>56.26</v>
      </c>
      <c r="D14" s="57">
        <f>B14-C14</f>
        <v/>
      </c>
      <c r="E14" s="70">
        <f>IF(ABS(D14)&lt;=0.2,"PASS","REVIEW")</f>
        <v/>
      </c>
      <c r="F14" s="18" t="inlineStr">
        <is>
          <t>3,409.80 / 60.61 = 56.26x — the report's 'reported earnings' multiple.</t>
        </is>
      </c>
    </row>
    <row r="15">
      <c r="A15" s="15" t="inlineStr">
        <is>
          <t>CDSL double-count guard (assoc profit x stake value)</t>
        </is>
      </c>
      <c r="B15" s="53">
        <f>'Income Statement'!E31*'DCF Valuation'!E36</f>
        <v/>
      </c>
      <c r="C15" s="25" t="n">
        <v>0</v>
      </c>
      <c r="D15" s="51">
        <f>B15-C15</f>
        <v/>
      </c>
      <c r="E15" s="70">
        <f>IF(ABS(D15)&lt;=0.01,"PASS","REVIEW")</f>
        <v/>
      </c>
      <c r="F15" s="18" t="inlineStr">
        <is>
          <t>MUST be zero: if both the earnings and the market value are non-zero the stake is counted twice [W5 constraint 4].</t>
        </is>
      </c>
    </row>
    <row r="16">
      <c r="A16" s="13" t="inlineStr">
        <is>
          <t>B. INTERNAL CONSISTENCY</t>
        </is>
      </c>
      <c r="B16" s="14" t="n"/>
      <c r="C16" s="14" t="n"/>
      <c r="D16" s="14" t="n"/>
      <c r="E16" s="14" t="n"/>
      <c r="F16" s="14" t="n"/>
    </row>
    <row r="17">
      <c r="A17" s="15" t="inlineStr">
        <is>
          <t>Balance sheet balances — FY27E</t>
        </is>
      </c>
      <c r="B17" s="53">
        <f>'Balance Sheet'!E23</f>
        <v/>
      </c>
      <c r="C17" s="25" t="n">
        <v>0</v>
      </c>
      <c r="D17" s="51">
        <f>B17-C17</f>
        <v/>
      </c>
      <c r="E17" s="70">
        <f>IF(ABS(D17)&lt;=0.5,"PASS","REVIEW")</f>
        <v/>
      </c>
      <c r="F17" s="18" t="inlineStr">
        <is>
          <t>Assets - Equity &amp; Liabilities must be zero.</t>
        </is>
      </c>
    </row>
    <row r="18">
      <c r="A18" s="15" t="inlineStr">
        <is>
          <t>Balance sheet balances — FY28E</t>
        </is>
      </c>
      <c r="B18" s="53">
        <f>'Balance Sheet'!F23</f>
        <v/>
      </c>
      <c r="C18" s="25" t="n">
        <v>0</v>
      </c>
      <c r="D18" s="51">
        <f>B18-C18</f>
        <v/>
      </c>
      <c r="E18" s="70">
        <f>IF(ABS(D18)&lt;=0.5,"PASS","REVIEW")</f>
        <v/>
      </c>
      <c r="F18" s="18" t="inlineStr">
        <is>
          <t>Assets - Equity &amp; Liabilities must be zero.</t>
        </is>
      </c>
    </row>
    <row r="19">
      <c r="A19" s="15" t="inlineStr">
        <is>
          <t>Balance sheet balances — FY29E</t>
        </is>
      </c>
      <c r="B19" s="53">
        <f>'Balance Sheet'!G23</f>
        <v/>
      </c>
      <c r="C19" s="25" t="n">
        <v>0</v>
      </c>
      <c r="D19" s="51">
        <f>B19-C19</f>
        <v/>
      </c>
      <c r="E19" s="70">
        <f>IF(ABS(D19)&lt;=0.5,"PASS","REVIEW")</f>
        <v/>
      </c>
      <c r="F19" s="18" t="inlineStr">
        <is>
          <t>Assets - Equity &amp; Liabilities must be zero.</t>
        </is>
      </c>
    </row>
    <row r="20">
      <c r="A20" s="15" t="inlineStr">
        <is>
          <t>Cost floor is binding in FY27E (&gt;0 means yes)</t>
        </is>
      </c>
      <c r="B20" s="53">
        <f>'Income Statement'!E20</f>
        <v/>
      </c>
      <c r="C20" s="25" t="n">
        <v>0</v>
      </c>
      <c r="D20" s="51">
        <f>B20-C20</f>
        <v/>
      </c>
      <c r="E20" s="70">
        <f>IF(ABS(D20)&lt;=100000.0,"PASS","REVIEW")</f>
        <v/>
      </c>
      <c r="F20" s="18" t="inlineStr">
        <is>
          <t>Informational: shows how much cost the ex-levy floor is holding in place.</t>
        </is>
      </c>
    </row>
    <row r="21">
      <c r="A21" s="13" t="inlineStr">
        <is>
          <t>C. REALITY TESTS AGAINST Q1FY27 (the latest actual)</t>
        </is>
      </c>
      <c r="B21" s="14" t="n"/>
      <c r="C21" s="14" t="n"/>
      <c r="D21" s="14" t="n"/>
      <c r="E21" s="14" t="n"/>
      <c r="F21" s="14" t="n"/>
    </row>
    <row r="22">
      <c r="A22" s="15" t="inlineStr">
        <is>
          <t>FY27E revenue vs Q1FY27 annualised</t>
        </is>
      </c>
      <c r="B22" s="53">
        <f>'Income Statement'!E7</f>
        <v/>
      </c>
      <c r="C22" s="25" t="n">
        <v>6264.08</v>
      </c>
      <c r="D22" s="51">
        <f>B22-C22</f>
        <v/>
      </c>
      <c r="E22" s="70">
        <f>IF(ABS(D22)&lt;=100000.0,"PASS","REVIEW")</f>
        <v/>
      </c>
      <c r="F22" s="18" t="inlineStr">
        <is>
          <t>Q1FY27 revenue x4 = Rs6,264cr. If FY27E is far above this, the forecast needs defending: Q1FY27 revenue grew only +0.16% SEQUENTIALLY.</t>
        </is>
      </c>
    </row>
    <row r="23">
      <c r="A23" s="15" t="inlineStr">
        <is>
          <t>FY27E total income vs Q1FY27 annualised</t>
        </is>
      </c>
      <c r="B23" s="53">
        <f>'Income Statement'!E10</f>
        <v/>
      </c>
      <c r="C23" s="25" t="n">
        <v>6826.88</v>
      </c>
      <c r="D23" s="51">
        <f>B23-C23</f>
        <v/>
      </c>
      <c r="E23" s="70">
        <f>IF(ABS(D23)&lt;=100000.0,"PASS","REVIEW")</f>
        <v/>
      </c>
      <c r="F23" s="18" t="inlineStr">
        <is>
          <t>110.1% of the Q1FY27 profit increase was NON-OPERATING.</t>
        </is>
      </c>
    </row>
    <row r="24">
      <c r="A24" s="13" t="inlineStr">
        <is>
          <t>D. IS THE GROWTH ASSUMPTION EVEN POSSIBLE?</t>
        </is>
      </c>
      <c r="B24" s="14" t="n"/>
      <c r="C24" s="14" t="n"/>
      <c r="D24" s="14" t="n"/>
      <c r="E24" s="14" t="n"/>
      <c r="F24" s="14" t="n"/>
    </row>
    <row r="25">
      <c r="A25" s="15" t="inlineStr">
        <is>
          <t>Two-exchange premium pool FY26 (Rs cr)</t>
        </is>
      </c>
      <c r="B25" s="43" t="n">
        <v>90468</v>
      </c>
      <c r="F25" s="18" t="inlineStr">
        <is>
          <t>DERIVED: BSE premium ADT 19,523 / share 21.58%.</t>
        </is>
      </c>
    </row>
    <row r="26">
      <c r="A26" s="15" t="inlineStr">
        <is>
          <t>Implied pool FY29E (grown at pool growth)</t>
        </is>
      </c>
      <c r="B26" s="45">
        <f>B25*(1+Assumptions!$H$67)^3</f>
        <v/>
      </c>
    </row>
    <row r="27">
      <c r="A27" s="15" t="inlineStr">
        <is>
          <t>BSE premium ADT FY29E (model)</t>
        </is>
      </c>
      <c r="B27" s="45">
        <f>'Drivers &amp; History'!G7</f>
        <v/>
      </c>
    </row>
    <row r="28">
      <c r="A28" s="5" t="inlineStr">
        <is>
          <t>IMPLIED BSE MARKET SHARE IN FY29E</t>
        </is>
      </c>
      <c r="B28" s="17">
        <f>B27/B26</f>
        <v/>
      </c>
      <c r="E28" s="70">
        <f>IF(B28&gt;0.5,"IMPOSSIBLE?",IF(B28&gt;0.35,"AGGRESSIVE","PLAUSIBLE"))</f>
        <v/>
      </c>
      <c r="F28" s="49" t="inlineStr">
        <is>
          <t>FY26 actual share 21.58% (from 14.44%). Share cannot exceed 100% — if this prints above ~35% the growth assumption is a share-transfer bet, not a market bet.</t>
        </is>
      </c>
    </row>
    <row r="30">
      <c r="A30" s="13" t="inlineStr">
        <is>
          <t>E. SIZED RISKS THE MODEL NOW CARRIES</t>
        </is>
      </c>
      <c r="B30" s="14" t="n"/>
      <c r="C30" s="14" t="n"/>
      <c r="D30" s="14" t="n"/>
      <c r="E30" s="14" t="n"/>
      <c r="F30" s="14" t="n"/>
    </row>
    <row r="31">
      <c r="A31" s="15" t="inlineStr">
        <is>
          <t>Wedge reversion to Q2FY26 low — revenue at risk (Rs cr)</t>
        </is>
      </c>
      <c r="B31" s="53">
        <f>'Segment Revenue Build'!D7*(1-0.00091491/0.00104315)</f>
        <v/>
      </c>
      <c r="C31" s="25" t="n">
        <v>385.35</v>
      </c>
      <c r="F31" s="49" t="inlineStr">
        <is>
          <t>Research: Rs385.35cr. A level ALREADY PRINTED inside this cycle.</t>
        </is>
      </c>
    </row>
    <row r="32">
      <c r="A32" s="15" t="inlineStr">
        <is>
          <t>Core SGF gap: policy vs charged (Rs cr)</t>
        </is>
      </c>
      <c r="B32" s="53">
        <f>'Segment Revenue Build'!D12*Assumptions!$H$32*Assumptions!$H$45-'Income Statement'!D23</f>
        <v/>
      </c>
      <c r="C32" s="25" t="n">
        <v>112.79</v>
      </c>
      <c r="F32" s="49" t="inlineStr">
        <is>
          <t>Rs112.79cr a year of permanent cash into a restricted fund, sourced only from a concall.</t>
        </is>
      </c>
    </row>
  </sheetData>
  <mergeCells count="3">
    <mergeCell ref="A3:F3"/>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2026-09-15T17:17:06Z</dcterms:created>
  <dcterms:modified xmlns:dcterms="http://purl.org/dc/terms/" xmlns:xsi="http://www.w3.org/2001/XMLSchema-instance" xsi:type="dcterms:W3CDTF">2026-09-15T17:17:06Z</dcterms:modified>
</cp:coreProperties>
</file>